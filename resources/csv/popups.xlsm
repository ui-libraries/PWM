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2020" yWindow="2520" windowWidth="25760" windowHeight="16060" tabRatio="500" activeTab="3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5" l="1"/>
  <c r="D13" i="5"/>
  <c r="C13" i="5"/>
  <c r="A13" i="5"/>
  <c r="A13" i="3"/>
  <c r="B13" i="2"/>
  <c r="A13" i="2"/>
  <c r="F13" i="4"/>
  <c r="A13" i="4"/>
  <c r="E12" i="5"/>
  <c r="D12" i="5"/>
  <c r="C12" i="5"/>
  <c r="A12" i="5"/>
  <c r="F12" i="4"/>
  <c r="A12" i="4"/>
  <c r="A12" i="3"/>
  <c r="B12" i="2"/>
  <c r="A12" i="2"/>
  <c r="E11" i="5"/>
  <c r="D11" i="5"/>
  <c r="C11" i="5"/>
  <c r="A11" i="5"/>
  <c r="A10" i="5"/>
  <c r="A9" i="5"/>
  <c r="A8" i="5"/>
  <c r="A7" i="5"/>
  <c r="A6" i="5"/>
  <c r="A5" i="5"/>
  <c r="A4" i="5"/>
  <c r="A3" i="5"/>
  <c r="A2" i="5"/>
  <c r="F11" i="4"/>
  <c r="A11" i="4"/>
  <c r="A10" i="4"/>
  <c r="A9" i="4"/>
  <c r="A8" i="4"/>
  <c r="A7" i="4"/>
  <c r="A6" i="4"/>
  <c r="A5" i="4"/>
  <c r="A4" i="4"/>
  <c r="A3" i="4"/>
  <c r="A2" i="4"/>
  <c r="A11" i="3"/>
  <c r="A10" i="3"/>
  <c r="A9" i="3"/>
  <c r="A8" i="3"/>
  <c r="A7" i="3"/>
  <c r="A6" i="3"/>
  <c r="A5" i="3"/>
  <c r="A4" i="3"/>
  <c r="A3" i="3"/>
  <c r="A2" i="3"/>
  <c r="A10" i="2"/>
  <c r="A9" i="2"/>
  <c r="A8" i="2"/>
  <c r="A7" i="2"/>
  <c r="A6" i="2"/>
  <c r="A5" i="2"/>
  <c r="A4" i="2"/>
  <c r="A3" i="2"/>
  <c r="A2" i="2"/>
  <c r="A11" i="2"/>
  <c r="B11" i="2"/>
  <c r="E10" i="5"/>
  <c r="D10" i="5"/>
  <c r="C10" i="5"/>
  <c r="F10" i="4"/>
  <c r="B10" i="2"/>
  <c r="B9" i="2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<sst xmlns="http://schemas.openxmlformats.org/spreadsheetml/2006/main" count="244" uniqueCount="177">
  <si>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</si>
  <si>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</si>
  <si>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</si>
  <si>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</si>
  <si>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</si>
  <si>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</si>
  <si>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</si>
  <si>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</si>
  <si>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</si>
  <si>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</si>
  <si>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</si>
  <si>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</si>
  <si>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</si>
  <si>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</si>
  <si>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</si>
  <si>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</si>
  <si>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</si>
  <si>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</si>
  <si>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</si>
  <si>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</si>
  <si>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</si>
  <si>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</si>
  <si>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</si>
  <si>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</si>
  <si>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</si>
  <si>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</si>
  <si>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</si>
  <si>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</si>
  <si>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</si>
  <si>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</si>
  <si>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</si>
  <si>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</si>
  <si>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</si>
  <si>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</si>
  <si>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</si>
  <si>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</si>
  <si>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</si>
  <si>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</si>
  <si>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</si>
  <si>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</si>
  <si>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</si>
  <si>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</si>
  <si>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</si>
  <si>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</si>
  <si>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</si>
  <si>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</si>
  <si>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</si>
  <si>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</si>
  <si>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</si>
  <si>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</si>
  <si>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</si>
  <si>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</si>
  <si>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</si>
  <si>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</si>
  <si>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</si>
  <si>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</si>
  <si>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</si>
  <si>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</si>
  <si>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</si>
  <si>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</si>
  <si>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</si>
  <si>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</si>
  <si>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</si>
  <si>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</si>
  <si>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</si>
  <si>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</si>
  <si>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</si>
  <si>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</si>
  <si>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</si>
  <si>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</si>
  <si>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</si>
  <si>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</si>
  <si>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</si>
  <si>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</si>
  <si>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</si>
  <si>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</si>
  <si>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</si>
  <si>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</si>
  <si>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</si>
  <si>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</si>
  <si>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</si>
  <si>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</si>
  <si>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</si>
  <si>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</si>
  <si>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</si>
  <si>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</si>
  <si>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</si>
  <si>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</si>
  <si>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</si>
  <si>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</si>
  <si>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</si>
  <si>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</si>
  <si>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</si>
  <si>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</si>
  <si>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</si>
  <si>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</si>
  <si>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</si>
  <si>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</si>
  <si>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</si>
  <si>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</si>
  <si>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</si>
  <si>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</si>
  <si>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</si>
  <si>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</si>
  <si>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</si>
  <si>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</si>
  <si>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</si>
  <si>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</si>
  <si>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</si>
  <si>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</si>
  <si>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</si>
  <si>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</si>
  <si>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</si>
  <si>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</si>
  <si>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</si>
  <si>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</si>
  <si>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</si>
  <si>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</si>
  <si>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</si>
  <si>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</si>
  <si>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</si>
  <si>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</si>
  <si>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</si>
  <si>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</si>
  <si>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</si>
  <si>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</si>
  <si>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</si>
  <si>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</si>
  <si>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</si>
  <si>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</si>
  <si>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</si>
  <si>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</si>
  <si>
    <t>[41.87309067492986,-91.14876766530863],[41.88369136394671,-91.13291716852328],[41.88785019548606,-91.11752600613018],[41.88903236066313,-91.10671025205070],[41.88948587592965,-91.08515680241602],[41.89678752024777,-91.06068446824604],[41.89565506246908,-91.04843836373004],[41.89663294336921,-91.04062153405235],[41.90372055060612,-91.03070368335445],[41.91476038229689,-90.95837572027072],[41.91490897314944,-90.95459910639092],[41.91673554536686,-90.94018289385917],[41.91921952947151,-90.93440526480154],[41.92073632245679,-90.92135184874788]</t>
  </si>
  <si>
    <t>IdaGrove1891FloodPopup</t>
  </si>
  <si>
    <t>Ida Grove, Iowa</t>
  </si>
  <si>
    <t>Flood of 1891</t>
  </si>
  <si>
    <t>ida/popups/IdaGrovePopup.jpg</t>
  </si>
  <si>
    <t>home/story/ida/1891Flood</t>
  </si>
  <si>
    <t>ida/popups/IdaGroveIcon.jpg</t>
  </si>
  <si>
    <t>IdaGroveIcon</t>
  </si>
  <si>
    <t>Ida Grove Scene</t>
  </si>
  <si>
    <t>Ida1891FloodMarker</t>
  </si>
  <si>
    <t>42.35930500076174, -95.47428131103516</t>
  </si>
  <si>
    <t>Ida Grove</t>
  </si>
  <si>
    <t>ida</t>
  </si>
  <si>
    <t>Lyon1Popup</t>
  </si>
  <si>
    <t>Blood Run National Historic Site, Larchfield, Iowa</t>
  </si>
  <si>
    <t>home/story/lyon/PeopleOnTheMove</t>
  </si>
  <si>
    <t>People On the Move</t>
  </si>
  <si>
    <t>lyon/popups/Lyon1Marker.png</t>
  </si>
  <si>
    <t>Blood Run Artifact</t>
  </si>
  <si>
    <t>Lyon1Marker</t>
  </si>
  <si>
    <t>Blood River National Historic Landmark</t>
  </si>
  <si>
    <t>lyon</t>
  </si>
  <si>
    <t>LyonCountySeal</t>
  </si>
  <si>
    <t>lyon/popups/Lyon1Popup.png</t>
  </si>
  <si>
    <t>LocustsPopup</t>
  </si>
  <si>
    <t>Grasshoppers and the Weather</t>
  </si>
  <si>
    <t>Lyon County, Iowa</t>
  </si>
  <si>
    <t>lyon/popups/LocustPopup.jpg</t>
  </si>
  <si>
    <t>home/story/lyon/Grasshoppers</t>
  </si>
  <si>
    <t>Locust</t>
  </si>
  <si>
    <t>LocustMarker</t>
  </si>
  <si>
    <r>
      <t xml:space="preserve">Rocky Mountain locust, </t>
    </r>
    <r>
      <rPr>
        <i/>
        <sz val="12"/>
        <color theme="1"/>
        <rFont val="Calibri"/>
        <family val="2"/>
        <scheme val="minor"/>
      </rPr>
      <t>Melanoplus spretus</t>
    </r>
  </si>
  <si>
    <t>EarlyFloodsPopup</t>
  </si>
  <si>
    <t>Early Floods</t>
  </si>
  <si>
    <t>lyon/popups/EarlyFloodsPopup.jpg</t>
  </si>
  <si>
    <t>home/story/lyon/EarlyFloods</t>
  </si>
  <si>
    <t>English Bison Hunter</t>
  </si>
  <si>
    <t>EarlyFloodsMarker</t>
  </si>
  <si>
    <t>BIsonHunter</t>
  </si>
  <si>
    <t>Locust from Wikipedia</t>
  </si>
  <si>
    <t>lyon/popups/EarlyFloodsMarker.jpg</t>
  </si>
  <si>
    <t>lyon/popups/LocustMarker.png</t>
  </si>
  <si>
    <t xml:space="preserve">43.272081037026076, -96.25221634749323
</t>
  </si>
  <si>
    <t>43.367871191298256, -96.11588289029896</t>
  </si>
  <si>
    <t>43.46076918056921, -96.58111954573542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</si>
</sst>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7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3"/>
  <sheetViews>
    <sheetView workbookViewId="0">
      <pane ySplit="1" topLeftCell="A2" activePane="bottomLeft" state="frozen"/>
      <selection pane="bottomLeft" activeCell="J30" sqref="J30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126</v>
      </c>
      <c r="E9" s="3">
        <v>320</v>
      </c>
      <c r="F9" s="3">
        <v>300</v>
      </c>
      <c r="H9" s="3" t="b">
        <v>1</v>
      </c>
    </row>
    <row r="10" spans="1:12">
      <c r="A10" s="3">
        <v>9</v>
      </c>
      <c r="B10" s="3" t="s">
        <v>133</v>
      </c>
      <c r="E10" s="3">
        <v>330</v>
      </c>
      <c r="F10" s="3">
        <v>310</v>
      </c>
      <c r="H10" s="3" t="b">
        <v>1</v>
      </c>
    </row>
    <row r="11" spans="1:12">
      <c r="A11" s="3">
        <v>10</v>
      </c>
      <c r="B11" s="3" t="s">
        <v>145</v>
      </c>
      <c r="E11" s="3">
        <v>330</v>
      </c>
      <c r="F11" s="3">
        <v>310</v>
      </c>
      <c r="H11" s="3" t="b">
        <v>1</v>
      </c>
    </row>
    <row r="12" spans="1:12">
      <c r="A12" s="3">
        <v>11</v>
      </c>
      <c r="B12" s="3" t="s">
        <v>156</v>
      </c>
      <c r="E12" s="3">
        <v>320</v>
      </c>
      <c r="F12" s="3">
        <v>300</v>
      </c>
      <c r="H12" s="3" t="b">
        <v>1</v>
      </c>
    </row>
    <row r="13" spans="1:12">
      <c r="A13" s="3">
        <v>12</v>
      </c>
      <c r="B13" s="3" t="s">
        <v>164</v>
      </c>
      <c r="E13" s="3">
        <v>330</v>
      </c>
      <c r="F13" s="3">
        <v>310</v>
      </c>
      <c r="H13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3"/>
  <sheetViews>
    <sheetView topLeftCell="D1" workbookViewId="0">
      <pane ySplit="1" topLeftCell="A5" activePane="bottomLeft" state="frozen"/>
      <selection pane="bottomLeft" activeCell="I13" sqref="I13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8">
        <f>popups!A2</f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8">
        <f>popups!A3</f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8">
        <f>popups!A4</f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8">
        <f>popups!A5</f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8">
        <f>popups!A6</f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8">
        <f>popups!A7</f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8">
        <f>popups!A8</f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8">
        <f>popups!A9</f>
        <v>8</v>
      </c>
      <c r="B9" s="8" t="str">
        <f>popups!B9</f>
        <v>Cedar1965TornadoPopup</v>
      </c>
      <c r="C9" s="3" t="s">
        <v>127</v>
      </c>
      <c r="D9" s="3" t="s">
        <v>128</v>
      </c>
      <c r="F9" s="3" t="s">
        <v>130</v>
      </c>
      <c r="G9" s="3" t="s">
        <v>41</v>
      </c>
      <c r="H9" s="3" t="s">
        <v>129</v>
      </c>
    </row>
    <row r="10" spans="1:8" ht="30">
      <c r="A10" s="8">
        <f>popups!A10</f>
        <v>9</v>
      </c>
      <c r="B10" s="8" t="str">
        <f>popups!B10</f>
        <v>IdaGrove1891FloodPopup</v>
      </c>
      <c r="C10" s="3" t="s">
        <v>135</v>
      </c>
      <c r="D10" s="3" t="s">
        <v>134</v>
      </c>
      <c r="F10" s="3" t="s">
        <v>136</v>
      </c>
      <c r="G10" s="3" t="s">
        <v>41</v>
      </c>
      <c r="H10" s="3" t="s">
        <v>137</v>
      </c>
    </row>
    <row r="11" spans="1:8" ht="45">
      <c r="A11" s="8">
        <f>popups!A11</f>
        <v>10</v>
      </c>
      <c r="B11" s="8" t="str">
        <f>popups!B11</f>
        <v>Lyon1Popup</v>
      </c>
      <c r="C11" s="3" t="s">
        <v>148</v>
      </c>
      <c r="D11" s="3" t="s">
        <v>146</v>
      </c>
      <c r="F11" s="3" t="s">
        <v>155</v>
      </c>
      <c r="G11" s="3" t="s">
        <v>41</v>
      </c>
      <c r="H11" s="3" t="s">
        <v>147</v>
      </c>
    </row>
    <row r="12" spans="1:8" ht="30">
      <c r="A12" s="8">
        <f>popups!A12</f>
        <v>11</v>
      </c>
      <c r="B12" s="8" t="str">
        <f>popups!B12</f>
        <v>LocustsPopup</v>
      </c>
      <c r="C12" s="3" t="s">
        <v>157</v>
      </c>
      <c r="D12" s="3" t="s">
        <v>158</v>
      </c>
      <c r="F12" s="3" t="s">
        <v>159</v>
      </c>
      <c r="G12" s="3" t="s">
        <v>41</v>
      </c>
      <c r="H12" s="3" t="s">
        <v>160</v>
      </c>
    </row>
    <row r="13" spans="1:8">
      <c r="A13" s="8">
        <f>popups!A13</f>
        <v>12</v>
      </c>
      <c r="B13" s="8" t="str">
        <f>popups!B13</f>
        <v>EarlyFloodsPopup</v>
      </c>
      <c r="C13" s="3" t="s">
        <v>165</v>
      </c>
      <c r="D13" s="3" t="s">
        <v>158</v>
      </c>
      <c r="F13" s="3" t="s">
        <v>166</v>
      </c>
      <c r="G13" s="3" t="s">
        <v>41</v>
      </c>
      <c r="H13" s="3" t="s">
        <v>167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3"/>
  <sheetViews>
    <sheetView workbookViewId="0">
      <pane ySplit="1" topLeftCell="A2" activePane="bottomLeft" state="frozen"/>
      <selection pane="bottomLeft" activeCell="C26" sqref="C26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 s="8">
        <f>popups!A2</f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 s="8">
        <f>popups!A3</f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 s="8">
        <f>popups!A4</f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 s="8">
        <f>popups!A5</f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 s="8">
        <f>popups!A6</f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 s="8">
        <f>popups!A7</f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 s="8">
        <f>popups!A8</f>
        <v>7</v>
      </c>
      <c r="B8" t="s">
        <v>114</v>
      </c>
      <c r="C8" t="s">
        <v>121</v>
      </c>
      <c r="J8" t="s">
        <v>120</v>
      </c>
    </row>
    <row r="9" spans="1:10">
      <c r="A9" s="8">
        <f>popups!A9</f>
        <v>8</v>
      </c>
      <c r="B9" t="s">
        <v>124</v>
      </c>
      <c r="C9" t="s">
        <v>121</v>
      </c>
      <c r="J9" t="s">
        <v>120</v>
      </c>
    </row>
    <row r="10" spans="1:10">
      <c r="A10" s="8">
        <f>popups!A10</f>
        <v>9</v>
      </c>
      <c r="B10" t="s">
        <v>139</v>
      </c>
      <c r="C10" t="s">
        <v>138</v>
      </c>
      <c r="D10">
        <v>150</v>
      </c>
      <c r="E10">
        <v>126</v>
      </c>
      <c r="J10" t="s">
        <v>140</v>
      </c>
    </row>
    <row r="11" spans="1:10">
      <c r="A11" s="8">
        <f>popups!A11</f>
        <v>10</v>
      </c>
      <c r="B11" t="s">
        <v>154</v>
      </c>
      <c r="C11" t="s">
        <v>149</v>
      </c>
      <c r="D11">
        <v>120</v>
      </c>
      <c r="E11">
        <v>117</v>
      </c>
      <c r="J11" t="s">
        <v>150</v>
      </c>
    </row>
    <row r="12" spans="1:10">
      <c r="A12" s="8">
        <f>popups!A12</f>
        <v>11</v>
      </c>
      <c r="B12" t="s">
        <v>161</v>
      </c>
      <c r="C12" t="s">
        <v>173</v>
      </c>
      <c r="D12">
        <v>150</v>
      </c>
      <c r="E12">
        <v>70</v>
      </c>
      <c r="J12" t="s">
        <v>171</v>
      </c>
    </row>
    <row r="13" spans="1:10">
      <c r="A13" s="8">
        <f>popups!A13</f>
        <v>12</v>
      </c>
      <c r="B13" t="s">
        <v>170</v>
      </c>
      <c r="C13" t="s">
        <v>172</v>
      </c>
      <c r="D13">
        <v>120</v>
      </c>
      <c r="E13">
        <v>70</v>
      </c>
      <c r="J13" t="s">
        <v>168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13"/>
  <sheetViews>
    <sheetView tabSelected="1" workbookViewId="0">
      <pane ySplit="1" topLeftCell="A6" activePane="bottomLeft" state="frozen"/>
      <selection pane="bottomLeft" activeCell="E12" sqref="E12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4" width="23.6640625" style="5" customWidth="1"/>
    <col min="5" max="5" width="65.332031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9">
        <f>popups!A2</f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9">
        <f>popups!A3</f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9">
        <f>popups!A4</f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9">
        <f>popups!A5</f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9">
        <f>popups!A6</f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9">
        <f>popups!A7</f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9">
        <f>popups!A8</f>
        <v>7</v>
      </c>
      <c r="B8" s="5" t="s">
        <v>115</v>
      </c>
      <c r="C8" s="5" t="s">
        <v>118</v>
      </c>
      <c r="D8" s="5" t="s">
        <v>122</v>
      </c>
      <c r="E8" s="5" t="s">
        <v>132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9">
        <f>popups!A9</f>
        <v>8</v>
      </c>
      <c r="B9" s="5" t="s">
        <v>123</v>
      </c>
      <c r="C9" s="5" t="s">
        <v>118</v>
      </c>
      <c r="D9" s="5" t="s">
        <v>122</v>
      </c>
      <c r="E9" s="5" t="s">
        <v>131</v>
      </c>
      <c r="F9" s="9" t="str">
        <f>popups_icons!B9</f>
        <v>Cedar1965TornadoIcon</v>
      </c>
      <c r="J9" s="5" t="s">
        <v>125</v>
      </c>
      <c r="L9" s="5">
        <v>1</v>
      </c>
    </row>
    <row r="10" spans="1:15">
      <c r="A10" s="9">
        <f>popups!A10</f>
        <v>9</v>
      </c>
      <c r="B10" s="5" t="s">
        <v>141</v>
      </c>
      <c r="D10" s="5" t="s">
        <v>109</v>
      </c>
      <c r="E10" s="5" t="s">
        <v>142</v>
      </c>
      <c r="F10" s="9" t="str">
        <f>popups_icons!B10</f>
        <v>IdaGroveIcon</v>
      </c>
      <c r="J10" s="5" t="s">
        <v>143</v>
      </c>
      <c r="L10" s="5">
        <v>1</v>
      </c>
    </row>
    <row r="11" spans="1:15">
      <c r="A11" s="9">
        <f>popups!A11</f>
        <v>10</v>
      </c>
      <c r="B11" s="5" t="s">
        <v>151</v>
      </c>
      <c r="D11" s="5" t="s">
        <v>109</v>
      </c>
      <c r="E11" s="5" t="s">
        <v>176</v>
      </c>
      <c r="F11" s="9" t="str">
        <f>popups_icons!B11</f>
        <v>LyonCountySeal</v>
      </c>
      <c r="J11" s="5" t="s">
        <v>152</v>
      </c>
      <c r="L11" s="5">
        <v>1</v>
      </c>
    </row>
    <row r="12" spans="1:15">
      <c r="A12" s="9">
        <f>popups!A12</f>
        <v>11</v>
      </c>
      <c r="B12" s="5" t="s">
        <v>162</v>
      </c>
      <c r="D12" s="5" t="s">
        <v>109</v>
      </c>
      <c r="E12" s="5" t="s">
        <v>175</v>
      </c>
      <c r="F12" s="9" t="str">
        <f>popups_icons!B12</f>
        <v>Locust</v>
      </c>
      <c r="J12" t="s">
        <v>163</v>
      </c>
      <c r="L12" s="5">
        <v>1</v>
      </c>
    </row>
    <row r="13" spans="1:15" ht="30">
      <c r="A13" s="9">
        <f>popups!A13</f>
        <v>12</v>
      </c>
      <c r="B13" s="5" t="s">
        <v>169</v>
      </c>
      <c r="D13" s="5" t="s">
        <v>109</v>
      </c>
      <c r="E13" s="3" t="s">
        <v>174</v>
      </c>
      <c r="F13" s="9" t="str">
        <f>popups_icons!B13</f>
        <v>BIsonHunter</v>
      </c>
      <c r="J13" t="s">
        <v>168</v>
      </c>
      <c r="L13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3"/>
  <sheetViews>
    <sheetView workbookViewId="0">
      <pane ySplit="1" topLeftCell="A2" activePane="bottomLeft" state="frozen"/>
      <selection pane="bottomLeft" activeCell="B20" sqref="B20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 s="10">
        <f>popups!A2</f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 s="10">
        <f>popups!A3</f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 s="10">
        <f>popups!A4</f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 s="10">
        <f>popups!A5</f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 s="10">
        <f>popups!A6</f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 s="10">
        <f>popups!A7</f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 s="10">
        <f>popups!A8</f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 s="10">
        <f>popups!A9</f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  <row r="10" spans="1:7">
      <c r="A10" s="10">
        <f>popups!A10</f>
        <v>9</v>
      </c>
      <c r="B10" t="s">
        <v>144</v>
      </c>
      <c r="C10" s="10" t="str">
        <f>popups_markers!B10</f>
        <v>Ida1891FloodMarker</v>
      </c>
      <c r="D10" s="10" t="str">
        <f>popups_icons!B10</f>
        <v>IdaGroveIcon</v>
      </c>
      <c r="E10" s="8" t="str">
        <f>popups!B10</f>
        <v>IdaGrove1891FloodPopup</v>
      </c>
    </row>
    <row r="11" spans="1:7">
      <c r="A11" s="10">
        <f>popups!A11</f>
        <v>10</v>
      </c>
      <c r="B11" t="s">
        <v>153</v>
      </c>
      <c r="C11" s="10" t="str">
        <f>popups_markers!B11</f>
        <v>Lyon1Marker</v>
      </c>
      <c r="D11" s="10" t="str">
        <f>popups_icons!B11</f>
        <v>LyonCountySeal</v>
      </c>
      <c r="E11" s="8" t="str">
        <f>popups!B11</f>
        <v>Lyon1Popup</v>
      </c>
    </row>
    <row r="12" spans="1:7">
      <c r="A12" s="10">
        <f>popups!A12</f>
        <v>11</v>
      </c>
      <c r="B12" t="s">
        <v>153</v>
      </c>
      <c r="C12" s="10" t="str">
        <f>popups_markers!B12</f>
        <v>LocustMarker</v>
      </c>
      <c r="D12" s="10" t="str">
        <f>popups_icons!B12</f>
        <v>Locust</v>
      </c>
      <c r="E12" s="8" t="str">
        <f>popups!B12</f>
        <v>LocustsPopup</v>
      </c>
    </row>
    <row r="13" spans="1:7">
      <c r="A13" s="10">
        <f>popups!A13</f>
        <v>12</v>
      </c>
      <c r="B13" t="s">
        <v>153</v>
      </c>
      <c r="C13" s="10" t="str">
        <f>popups_markers!B13</f>
        <v>EarlyFloodsMarker</v>
      </c>
      <c r="D13" s="10" t="str">
        <f>popups_icons!B13</f>
        <v>BIsonHunter</v>
      </c>
      <c r="E13" s="8" t="str">
        <f>popups!B13</f>
        <v>EarlyFloodsPopup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2015-07-27T19:46:05Z</dcterms:modified>
</cp:coreProperties>
</file>