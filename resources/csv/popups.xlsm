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 codeName="{00000000-0000-0000-0000-000000000000}"/>
  <workbookPr showInkAnnotation="0" codeName="ThisWorkbook" autoCompressPictures="0"/>
  <bookViews>
    <workbookView xWindow="2040" yWindow="2520" windowWidth="25760" windowHeight="16060" tabRatio="500" activeTab="3"/>
  </bookViews>
  <sheets>
    <sheet name="popups" sheetId="1" r:id="rId1"/>
    <sheet name="popups_content" sheetId="2" r:id="rId2"/>
    <sheet name="popups_icons" sheetId="3" r:id="rId3"/>
    <sheet name="popups_markers" sheetId="4" r:id="rId4"/>
    <sheet name="popups_view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4" i="5" l="1"/>
  <c r="D14" i="5"/>
  <c r="C14" i="5"/>
  <c r="A14" i="5"/>
  <c r="F14" i="4"/>
  <c r="A14" i="4"/>
  <c r="A14" i="3"/>
  <c r="B14" i="2"/>
  <c r="A14" i="2"/>
  <c r="E13" i="5"/>
  <c r="D13" i="5"/>
  <c r="C13" i="5"/>
  <c r="A13" i="5"/>
  <c r="A13" i="3"/>
  <c r="B13" i="2"/>
  <c r="A13" i="2"/>
  <c r="F13" i="4"/>
  <c r="A13" i="4"/>
  <c r="E12" i="5"/>
  <c r="D12" i="5"/>
  <c r="C12" i="5"/>
  <c r="A12" i="5"/>
  <c r="F12" i="4"/>
  <c r="A12" i="4"/>
  <c r="A12" i="3"/>
  <c r="B12" i="2"/>
  <c r="A12" i="2"/>
  <c r="E11" i="5"/>
  <c r="D11" i="5"/>
  <c r="C11" i="5"/>
  <c r="A11" i="5"/>
  <c r="A10" i="5"/>
  <c r="A9" i="5"/>
  <c r="A8" i="5"/>
  <c r="A7" i="5"/>
  <c r="A6" i="5"/>
  <c r="A5" i="5"/>
  <c r="A4" i="5"/>
  <c r="A3" i="5"/>
  <c r="A2" i="5"/>
  <c r="F11" i="4"/>
  <c r="A11" i="4"/>
  <c r="A10" i="4"/>
  <c r="A9" i="4"/>
  <c r="A8" i="4"/>
  <c r="A7" i="4"/>
  <c r="A6" i="4"/>
  <c r="A5" i="4"/>
  <c r="A4" i="4"/>
  <c r="A3" i="4"/>
  <c r="A2" i="4"/>
  <c r="A11" i="3"/>
  <c r="A10" i="3"/>
  <c r="A9" i="3"/>
  <c r="A8" i="3"/>
  <c r="A7" i="3"/>
  <c r="A6" i="3"/>
  <c r="A5" i="3"/>
  <c r="A4" i="3"/>
  <c r="A3" i="3"/>
  <c r="A2" i="3"/>
  <c r="A10" i="2"/>
  <c r="A9" i="2"/>
  <c r="A8" i="2"/>
  <c r="A7" i="2"/>
  <c r="A6" i="2"/>
  <c r="A5" i="2"/>
  <c r="A4" i="2"/>
  <c r="A3" i="2"/>
  <c r="A2" i="2"/>
  <c r="A11" i="2"/>
  <c r="B11" i="2"/>
  <c r="E10" i="5"/>
  <c r="D10" i="5"/>
  <c r="C10" i="5"/>
  <c r="F10" i="4"/>
  <c r="B10" i="2"/>
  <c r="B9" i="2"/>
  <c r="F9" i="4"/>
  <c r="E9" i="5"/>
  <c r="D9" i="5"/>
  <c r="C9" i="5"/>
  <c r="E8" i="5"/>
  <c r="D8" i="5"/>
  <c r="C8" i="5"/>
  <c r="F8" i="4"/>
  <c r="B8" i="2"/>
  <c r="D7" i="5"/>
  <c r="F7" i="4"/>
  <c r="E7" i="5"/>
  <c r="C7" i="5"/>
  <c r="B7" i="2"/>
  <c r="B6" i="2"/>
  <c r="E6" i="5"/>
  <c r="D6" i="5"/>
  <c r="C6" i="5"/>
</calcChain>
</file>

<file path=xl/sharedStrings.xml><?xml version="1.0" encoding="utf-8"?>
<sst xmlns="http://schemas.openxmlformats.org/spreadsheetml/2006/main" count="258" uniqueCount="188">
  <si>
    <t>id</t>
  </si>
  <si>
    <t>popupname</t>
  </si>
  <si>
    <t xml:space="preserve"> setlat</t>
  </si>
  <si>
    <t>setlng</t>
  </si>
  <si>
    <t>maxwidth</t>
  </si>
  <si>
    <t>minwidth</t>
  </si>
  <si>
    <t>maxheight</t>
  </si>
  <si>
    <t>autopan</t>
  </si>
  <si>
    <t>keepinview</t>
  </si>
  <si>
    <t>closebutton</t>
  </si>
  <si>
    <t>offset_x</t>
  </si>
  <si>
    <t>offset_y</t>
  </si>
  <si>
    <t>title</t>
  </si>
  <si>
    <t>subtitle</t>
  </si>
  <si>
    <t>body</t>
  </si>
  <si>
    <t>imageurl</t>
  </si>
  <si>
    <t>buttontxt</t>
  </si>
  <si>
    <t>buttonurl</t>
  </si>
  <si>
    <t>iconname</t>
  </si>
  <si>
    <t>iconurl</t>
  </si>
  <si>
    <t>iconsize_x</t>
  </si>
  <si>
    <t>iconsize_y</t>
  </si>
  <si>
    <t>iconanchor_x</t>
  </si>
  <si>
    <t>iconanchor_y</t>
  </si>
  <si>
    <t>popupanchor_x</t>
  </si>
  <si>
    <t>popupanchor_y</t>
  </si>
  <si>
    <t>desc</t>
  </si>
  <si>
    <t>markername</t>
  </si>
  <si>
    <t>clickable</t>
  </si>
  <si>
    <t>draggable</t>
  </si>
  <si>
    <t>keyboard</t>
  </si>
  <si>
    <t>zindexoffset</t>
  </si>
  <si>
    <t>opacity</t>
  </si>
  <si>
    <t>riseonhover</t>
  </si>
  <si>
    <t>riseoffset</t>
  </si>
  <si>
    <t>location</t>
  </si>
  <si>
    <t>viewname</t>
  </si>
  <si>
    <t>Whpopup</t>
  </si>
  <si>
    <t>Flood of 1929</t>
  </si>
  <si>
    <t>Williams and Hunting Company</t>
  </si>
  <si>
    <t>linn/popups/WilliamsAndHuntingWoodcut.jpg</t>
  </si>
  <si>
    <t>Go To Story</t>
  </si>
  <si>
    <t>home/story/linn/WH</t>
  </si>
  <si>
    <t>WHTextLogo</t>
  </si>
  <si>
    <t>linn/popups/WHLogo-sm.jpg</t>
  </si>
  <si>
    <t>Williams and Hunting Text Logo</t>
  </si>
  <si>
    <t>Whmarker</t>
  </si>
  <si>
    <t>Williams And Hunting Co</t>
  </si>
  <si>
    <t>linn</t>
  </si>
  <si>
    <t>Midland</t>
  </si>
  <si>
    <t>Midland Sign</t>
  </si>
  <si>
    <t>MidlandPopup</t>
  </si>
  <si>
    <t>Flood of 2008</t>
  </si>
  <si>
    <t>Iowa Midland Supply Inc.</t>
  </si>
  <si>
    <t>home/story/linn/Midland</t>
  </si>
  <si>
    <t>MidlandMarker</t>
  </si>
  <si>
    <t>linn/popups/MidlandFront.jpg</t>
  </si>
  <si>
    <t>linn/popups/MidlandIcon.png</t>
  </si>
  <si>
    <t>VetsIcon</t>
  </si>
  <si>
    <t>Veterans Memorial Building, 1927 Sign</t>
  </si>
  <si>
    <t>VetsMarker</t>
  </si>
  <si>
    <t>Veterans Memorial Building</t>
  </si>
  <si>
    <t>VetsPopup</t>
  </si>
  <si>
    <r>
      <t>&lt;div class="caption"&gt;Robert Nunn linoleum cut from 1930 in &lt;i&gt;</t>
    </r>
    <r>
      <rPr>
        <i/>
        <sz val="12"/>
        <color theme="1"/>
        <rFont val="Cambria"/>
      </rPr>
      <t xml:space="preserve">This is Iowa:  A Cavalcade of the Tall Corn State&lt;/i&gt; </t>
    </r>
    <r>
      <rPr>
        <sz val="12"/>
        <color theme="1"/>
        <rFont val="Cambria"/>
      </rPr>
      <t xml:space="preserve"> by Clarence A. Andrews (1982) at &lt;a href="http://projects.mtmercy.edu/stonecity/artists/nunn.html" target = "_blank"&gt;projects.mtmercy.edu/stonecity/artists/nunn.html&lt;/a&gt;&lt;/div&gt;</t>
    </r>
  </si>
  <si>
    <t>Veterans Memorial on  Mays Island</t>
  </si>
  <si>
    <t>linn/popups/VetsIcon.png</t>
  </si>
  <si>
    <t>linn/popups/VetsPrint.jpg</t>
  </si>
  <si>
    <t>home/story/linn/Vets</t>
  </si>
  <si>
    <t>Floods of 1929, 2008</t>
  </si>
  <si>
    <t>WoodbinePopup</t>
  </si>
  <si>
    <t>WoodbineIcon</t>
  </si>
  <si>
    <t>Woodbine Twiner Masthead</t>
  </si>
  <si>
    <t>WoodbineMarker</t>
  </si>
  <si>
    <t>harrison</t>
  </si>
  <si>
    <t>harrison/popups/WoodbineWayMarkerIcon.png</t>
  </si>
  <si>
    <t>Woodbine Time Capsule Marker</t>
  </si>
  <si>
    <t>home/story/harrison/Woodbine1913</t>
  </si>
  <si>
    <t>harrison/popups/WoodbineTwinerPopup.jpg</t>
  </si>
  <si>
    <t>Easter Tornado of 1913</t>
  </si>
  <si>
    <t>Woodbine, Iowa</t>
  </si>
  <si>
    <t>Persia and Yorkshire</t>
  </si>
  <si>
    <t>PersiaYorkshireIcon</t>
  </si>
  <si>
    <t>harrison/popups/PersiaYorkshireIcon.png</t>
  </si>
  <si>
    <t>Man Splitting Wood</t>
  </si>
  <si>
    <t>PersiaYorkshireMarker</t>
  </si>
  <si>
    <t>PersiaYorkshirePopup</t>
  </si>
  <si>
    <t>1925 Tornadoes</t>
  </si>
  <si>
    <t>Persia and Yorkshire, Iowa</t>
  </si>
  <si>
    <t>harrison/popups/PersiaYorkshirePopup.jpg</t>
  </si>
  <si>
    <t>home/story/harrison/PersiaYorkshire1925</t>
  </si>
  <si>
    <t>LoganPopup</t>
  </si>
  <si>
    <t>harrison/popups/LoganPopup.jpg</t>
  </si>
  <si>
    <t>Logan, Iowa</t>
  </si>
  <si>
    <t>1999 Tornadoes</t>
  </si>
  <si>
    <t>home/story/harrison/Logan1999</t>
  </si>
  <si>
    <t>Logan</t>
  </si>
  <si>
    <t>LoganIcon</t>
  </si>
  <si>
    <t>Logan Iowa Logo</t>
  </si>
  <si>
    <t>LoganMarker</t>
  </si>
  <si>
    <t>harrison/popups/LoganIcon.png</t>
  </si>
  <si>
    <t>layergroup</t>
  </si>
  <si>
    <t>markertype</t>
  </si>
  <si>
    <t>41.9715997839848,-91.668848991394</t>
  </si>
  <si>
    <t>41.974256,-91.662294</t>
  </si>
  <si>
    <t>41.976720578,-91.6710591316</t>
  </si>
  <si>
    <t>41.7387846530874,-95.7070541381835</t>
  </si>
  <si>
    <t>41.5494945961141,-95.5803680419921</t>
  </si>
  <si>
    <t>41.607484919548,-95.7818126678466</t>
  </si>
  <si>
    <t>coords</t>
  </si>
  <si>
    <t>point</t>
  </si>
  <si>
    <t>Cedar1898TornadoPopup</t>
  </si>
  <si>
    <t>1898 Tornado</t>
  </si>
  <si>
    <t>Western Cedar County, Iowa</t>
  </si>
  <si>
    <t>home/story/cedar/1898Tornado</t>
  </si>
  <si>
    <t>Cedar1898TornadoIcon</t>
  </si>
  <si>
    <t>Cedar1898TornadoMarker</t>
  </si>
  <si>
    <t>Cedar 1898 Tornado</t>
  </si>
  <si>
    <t>cedar</t>
  </si>
  <si>
    <t>tornadoes</t>
  </si>
  <si>
    <t>cedar/popups/1898TornadoPopup.jpg</t>
  </si>
  <si>
    <t>Tornado Path</t>
  </si>
  <si>
    <t>none</t>
  </si>
  <si>
    <t>line</t>
  </si>
  <si>
    <t>Cedar1965TornadoMarker</t>
  </si>
  <si>
    <t>Cedar1965TornadoIcon</t>
  </si>
  <si>
    <t>Cedar 1965 Tornado</t>
  </si>
  <si>
    <t>Cedar1965TornadoPopup</t>
  </si>
  <si>
    <t>1965 Tornado</t>
  </si>
  <si>
    <t>Cedar County Palm Sunday Tornado</t>
  </si>
  <si>
    <t>home/story/cedar/1965Tornado</t>
  </si>
  <si>
    <t>cedar/popups/1965TornadoPopup.jpg</t>
  </si>
  <si>
    <t>[41.80016907075043,-91.06276441021384],[41.81467142960757,-91.03983257089766],[41.84914390799869,-90.98595969485159],[41.8527369101403,-90.97999397314413],[41.86953567991137,-90.95711181833796],[41.87487880563377,-90.95253001407983],[41.88364914709426,-90.94077440786104],[41.88967599596352,-90.93683471975039],[41.89986933536214,-90.92329835580601],[41.9133585899547,-90.90855553608368]</t>
  </si>
  <si>
    <t>[41.87309067492986,-91.14876766530863],[41.88369136394671,-91.13291716852328],[41.88785019548606,-91.11752600613018],[41.88903236066313,-91.10671025205070],[41.88948587592965,-91.08515680241602],[41.89678752024777,-91.06068446824604],[41.89565506246908,-91.04843836373004],[41.89663294336921,-91.04062153405235],[41.90372055060612,-91.03070368335445],[41.91476038229689,-90.95837572027072],[41.91490897314944,-90.95459910639092],[41.91673554536686,-90.94018289385917],[41.91921952947151,-90.93440526480154],[41.92073632245679,-90.92135184874788]</t>
  </si>
  <si>
    <t>IdaGrove1891FloodPopup</t>
  </si>
  <si>
    <t>Ida Grove, Iowa</t>
  </si>
  <si>
    <t>Flood of 1891</t>
  </si>
  <si>
    <t>ida/popups/IdaGrovePopup.jpg</t>
  </si>
  <si>
    <t>home/story/ida/1891Flood</t>
  </si>
  <si>
    <t>ida/popups/IdaGroveIcon.jpg</t>
  </si>
  <si>
    <t>IdaGroveIcon</t>
  </si>
  <si>
    <t>Ida Grove Scene</t>
  </si>
  <si>
    <t>Ida1891FloodMarker</t>
  </si>
  <si>
    <t>42.35930500076174, -95.47428131103516</t>
  </si>
  <si>
    <t>Ida Grove</t>
  </si>
  <si>
    <t>ida</t>
  </si>
  <si>
    <t>Lyon1Popup</t>
  </si>
  <si>
    <t>Blood Run National Historic Site, Larchfield, Iowa</t>
  </si>
  <si>
    <t>home/story/lyon/PeopleOnTheMove</t>
  </si>
  <si>
    <t>People On the Move</t>
  </si>
  <si>
    <t>lyon/popups/Lyon1Marker.png</t>
  </si>
  <si>
    <t>Blood Run Artifact</t>
  </si>
  <si>
    <t>Lyon1Marker</t>
  </si>
  <si>
    <t>Blood River National Historic Landmark</t>
  </si>
  <si>
    <t>lyon</t>
  </si>
  <si>
    <t>LyonCountySeal</t>
  </si>
  <si>
    <t>lyon/popups/Lyon1Popup.png</t>
  </si>
  <si>
    <t>Grasshoppers and the Weather</t>
  </si>
  <si>
    <t>Lyon County, Iowa</t>
  </si>
  <si>
    <t>lyon/popups/LocustPopup.jpg</t>
  </si>
  <si>
    <t>home/story/lyon/Grasshoppers</t>
  </si>
  <si>
    <t>Locust</t>
  </si>
  <si>
    <t>LocustMarker</t>
  </si>
  <si>
    <r>
      <t xml:space="preserve">Rocky Mountain locust, </t>
    </r>
    <r>
      <rPr>
        <i/>
        <sz val="12"/>
        <color theme="1"/>
        <rFont val="Calibri"/>
        <family val="2"/>
        <scheme val="minor"/>
      </rPr>
      <t>Melanoplus spretus</t>
    </r>
  </si>
  <si>
    <t>Early Floods</t>
  </si>
  <si>
    <t>lyon/popups/EarlyFloodsPopup.jpg</t>
  </si>
  <si>
    <t>home/story/lyon/EarlyFloods</t>
  </si>
  <si>
    <t>English Bison Hunter</t>
  </si>
  <si>
    <t>EarlyFloodsMarker</t>
  </si>
  <si>
    <t>BIsonHunter</t>
  </si>
  <si>
    <t>Locust from Wikipedia</t>
  </si>
  <si>
    <t>lyon/popups/EarlyFloodsMarker.jpg</t>
  </si>
  <si>
    <t>lyon/popups/LocustMarker.png</t>
  </si>
  <si>
    <t xml:space="preserve">43.272081037026076, -96.25221634749323
</t>
  </si>
  <si>
    <t>43.46076918056921, -96.58111954573542</t>
  </si>
  <si>
    <t>LyonFloods2014Popup</t>
  </si>
  <si>
    <t>LyonEarlyFloodsPopup</t>
  </si>
  <si>
    <t>LyonLocustsPopup</t>
  </si>
  <si>
    <t>Flood of 2014</t>
  </si>
  <si>
    <t>lyon/popups/LyonFlood2014Popup.jpg</t>
  </si>
  <si>
    <t>home/story/lyon/2014Flood</t>
  </si>
  <si>
    <t>lyon/popups/LyonFlood2014Marker.jpg</t>
  </si>
  <si>
    <t>Road Sign, Water over Road</t>
  </si>
  <si>
    <t>WaterOverRoad</t>
  </si>
  <si>
    <t>LyonFlood2014Marker</t>
  </si>
  <si>
    <t>Water Over Road</t>
  </si>
  <si>
    <t>Rock Rapids, Lyon County, Iowa</t>
  </si>
  <si>
    <t>43.4417,- 96.1686</t>
  </si>
  <si>
    <t>43.3469, -96.11588289029896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</si>
</sst>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mbria"/>
    </font>
    <font>
      <i/>
      <sz val="12"/>
      <color theme="1"/>
      <name val="Cambria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9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quotePrefix="1" applyAlignment="1">
      <alignment vertical="top" wrapText="1"/>
    </xf>
    <xf numFmtId="0" fontId="4" fillId="0" borderId="0" xfId="0" applyFont="1"/>
    <xf numFmtId="0" fontId="0" fillId="3" borderId="0" xfId="0" applyFill="1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/>
  </cellXfs>
  <cellStyles count="19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14"/>
  <sheetViews>
    <sheetView workbookViewId="0">
      <pane ySplit="1" topLeftCell="A3" activePane="bottomLeft" state="frozen"/>
      <selection pane="bottomLeft" activeCell="G14" sqref="G14"/>
    </sheetView>
  </sheetViews>
  <sheetFormatPr baseColWidth="10" defaultRowHeight="15" x14ac:dyDescent="0"/>
  <cols>
    <col min="1" max="1" width="10.83203125" style="3"/>
    <col min="2" max="2" width="24.33203125" style="3" customWidth="1"/>
    <col min="3" max="16384" width="10.83203125" style="3"/>
  </cols>
  <sheetData>
    <row r="1" spans="1:12" ht="3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 t="s">
        <v>37</v>
      </c>
      <c r="E2" s="3">
        <v>562</v>
      </c>
      <c r="F2" s="3">
        <v>540</v>
      </c>
      <c r="H2" s="6" t="b">
        <v>1</v>
      </c>
    </row>
    <row r="3" spans="1:12">
      <c r="A3" s="3">
        <v>2</v>
      </c>
      <c r="B3" s="3" t="s">
        <v>51</v>
      </c>
      <c r="E3" s="3">
        <v>450</v>
      </c>
      <c r="F3" s="3">
        <v>430</v>
      </c>
      <c r="H3" s="3" t="b">
        <v>1</v>
      </c>
    </row>
    <row r="4" spans="1:12">
      <c r="A4" s="3">
        <v>3</v>
      </c>
      <c r="B4" s="3" t="s">
        <v>62</v>
      </c>
      <c r="E4" s="3">
        <v>350</v>
      </c>
      <c r="F4" s="3">
        <v>330</v>
      </c>
      <c r="H4" s="3" t="b">
        <v>1</v>
      </c>
    </row>
    <row r="5" spans="1:12">
      <c r="A5" s="3">
        <v>4</v>
      </c>
      <c r="B5" s="3" t="s">
        <v>69</v>
      </c>
      <c r="E5" s="3">
        <v>350</v>
      </c>
      <c r="F5" s="3">
        <v>330</v>
      </c>
      <c r="H5" s="3" t="b">
        <v>1</v>
      </c>
    </row>
    <row r="6" spans="1:12">
      <c r="A6" s="3">
        <v>5</v>
      </c>
      <c r="B6" s="3" t="s">
        <v>85</v>
      </c>
      <c r="E6" s="3">
        <v>240</v>
      </c>
      <c r="F6" s="3">
        <v>222</v>
      </c>
      <c r="H6" s="3" t="b">
        <v>1</v>
      </c>
    </row>
    <row r="7" spans="1:12">
      <c r="A7" s="3">
        <v>6</v>
      </c>
      <c r="B7" s="3" t="s">
        <v>90</v>
      </c>
      <c r="E7" s="3">
        <v>320</v>
      </c>
      <c r="F7" s="3">
        <v>300</v>
      </c>
      <c r="H7" s="3" t="b">
        <v>1</v>
      </c>
    </row>
    <row r="8" spans="1:12">
      <c r="A8" s="3">
        <v>7</v>
      </c>
      <c r="B8" s="3" t="s">
        <v>110</v>
      </c>
      <c r="E8" s="3">
        <v>320</v>
      </c>
      <c r="F8" s="3">
        <v>300</v>
      </c>
      <c r="H8" s="3" t="b">
        <v>1</v>
      </c>
    </row>
    <row r="9" spans="1:12">
      <c r="A9" s="3">
        <v>8</v>
      </c>
      <c r="B9" s="3" t="s">
        <v>126</v>
      </c>
      <c r="E9" s="3">
        <v>320</v>
      </c>
      <c r="F9" s="3">
        <v>300</v>
      </c>
      <c r="H9" s="3" t="b">
        <v>1</v>
      </c>
    </row>
    <row r="10" spans="1:12">
      <c r="A10" s="3">
        <v>9</v>
      </c>
      <c r="B10" s="3" t="s">
        <v>133</v>
      </c>
      <c r="E10" s="3">
        <v>330</v>
      </c>
      <c r="F10" s="3">
        <v>310</v>
      </c>
      <c r="H10" s="3" t="b">
        <v>1</v>
      </c>
    </row>
    <row r="11" spans="1:12">
      <c r="A11" s="3">
        <v>10</v>
      </c>
      <c r="B11" s="3" t="s">
        <v>145</v>
      </c>
      <c r="E11" s="3">
        <v>330</v>
      </c>
      <c r="F11" s="3">
        <v>310</v>
      </c>
      <c r="H11" s="3" t="b">
        <v>1</v>
      </c>
    </row>
    <row r="12" spans="1:12">
      <c r="A12" s="3">
        <v>11</v>
      </c>
      <c r="B12" s="3" t="s">
        <v>176</v>
      </c>
      <c r="E12" s="3">
        <v>320</v>
      </c>
      <c r="F12" s="3">
        <v>300</v>
      </c>
      <c r="H12" s="3" t="b">
        <v>1</v>
      </c>
    </row>
    <row r="13" spans="1:12">
      <c r="A13" s="3">
        <v>12</v>
      </c>
      <c r="B13" s="3" t="s">
        <v>175</v>
      </c>
      <c r="E13" s="3">
        <v>330</v>
      </c>
      <c r="F13" s="3">
        <v>310</v>
      </c>
      <c r="H13" s="3" t="b">
        <v>1</v>
      </c>
    </row>
    <row r="14" spans="1:12">
      <c r="A14" s="3">
        <v>13</v>
      </c>
      <c r="B14" s="3" t="s">
        <v>174</v>
      </c>
      <c r="E14" s="3">
        <v>320</v>
      </c>
      <c r="F14" s="3">
        <v>300</v>
      </c>
      <c r="H14" s="3" t="b">
        <v>1</v>
      </c>
    </row>
  </sheetData>
  <dataConsolidate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4"/>
  <sheetViews>
    <sheetView topLeftCell="E1" workbookViewId="0">
      <pane ySplit="1" topLeftCell="A9" activePane="bottomLeft" state="frozen"/>
      <selection pane="bottomLeft" activeCell="H14" sqref="H14"/>
    </sheetView>
  </sheetViews>
  <sheetFormatPr baseColWidth="10" defaultRowHeight="15" x14ac:dyDescent="0"/>
  <cols>
    <col min="1" max="1" width="10.83203125" style="3"/>
    <col min="2" max="2" width="22.1640625" style="3" customWidth="1"/>
    <col min="3" max="3" width="19.6640625" style="3" customWidth="1"/>
    <col min="4" max="4" width="22.6640625" style="3" customWidth="1"/>
    <col min="5" max="5" width="44" style="3" customWidth="1"/>
    <col min="6" max="6" width="44.1640625" style="3" customWidth="1"/>
    <col min="7" max="7" width="18.6640625" style="3" customWidth="1"/>
    <col min="8" max="8" width="44.6640625" style="3" customWidth="1"/>
    <col min="9" max="16384" width="10.83203125" style="3"/>
  </cols>
  <sheetData>
    <row r="1" spans="1:8">
      <c r="A1" s="2" t="s">
        <v>0</v>
      </c>
      <c r="B1" s="2" t="s">
        <v>1</v>
      </c>
      <c r="C1" s="2" t="s">
        <v>12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ht="30">
      <c r="A2" s="8">
        <f>popups!A2</f>
        <v>1</v>
      </c>
      <c r="B2" s="8" t="s">
        <v>37</v>
      </c>
      <c r="C2" s="3" t="s">
        <v>38</v>
      </c>
      <c r="D2" s="3" t="s">
        <v>39</v>
      </c>
      <c r="F2" s="3" t="s">
        <v>40</v>
      </c>
      <c r="G2" s="3" t="s">
        <v>41</v>
      </c>
      <c r="H2" s="3" t="s">
        <v>42</v>
      </c>
    </row>
    <row r="3" spans="1:8">
      <c r="A3" s="8">
        <f>popups!A3</f>
        <v>2</v>
      </c>
      <c r="B3" s="8" t="s">
        <v>51</v>
      </c>
      <c r="C3" s="3" t="s">
        <v>52</v>
      </c>
      <c r="D3" s="3" t="s">
        <v>53</v>
      </c>
      <c r="F3" s="3" t="s">
        <v>56</v>
      </c>
      <c r="G3" s="3" t="s">
        <v>41</v>
      </c>
      <c r="H3" s="3" t="s">
        <v>54</v>
      </c>
    </row>
    <row r="4" spans="1:8" ht="30">
      <c r="A4" s="8">
        <f>popups!A4</f>
        <v>3</v>
      </c>
      <c r="B4" s="8" t="s">
        <v>62</v>
      </c>
      <c r="C4" s="3" t="s">
        <v>68</v>
      </c>
      <c r="D4" s="3" t="s">
        <v>64</v>
      </c>
      <c r="E4" s="7" t="s">
        <v>63</v>
      </c>
      <c r="F4" s="3" t="s">
        <v>66</v>
      </c>
      <c r="G4" s="3" t="s">
        <v>41</v>
      </c>
      <c r="H4" s="3" t="s">
        <v>67</v>
      </c>
    </row>
    <row r="5" spans="1:8" ht="30">
      <c r="A5" s="8">
        <f>popups!A5</f>
        <v>4</v>
      </c>
      <c r="B5" s="8" t="s">
        <v>69</v>
      </c>
      <c r="C5" s="3" t="s">
        <v>78</v>
      </c>
      <c r="D5" s="3" t="s">
        <v>79</v>
      </c>
      <c r="F5" s="3" t="s">
        <v>77</v>
      </c>
      <c r="G5" s="3" t="s">
        <v>41</v>
      </c>
      <c r="H5" s="3" t="s">
        <v>76</v>
      </c>
    </row>
    <row r="6" spans="1:8">
      <c r="A6" s="8">
        <f>popups!A6</f>
        <v>5</v>
      </c>
      <c r="B6" s="8" t="str">
        <f>popups!B6</f>
        <v>PersiaYorkshirePopup</v>
      </c>
      <c r="C6" s="3" t="s">
        <v>86</v>
      </c>
      <c r="D6" s="3" t="s">
        <v>87</v>
      </c>
      <c r="F6" s="3" t="s">
        <v>88</v>
      </c>
      <c r="G6" s="3" t="s">
        <v>41</v>
      </c>
      <c r="H6" s="3" t="s">
        <v>89</v>
      </c>
    </row>
    <row r="7" spans="1:8">
      <c r="A7" s="8">
        <f>popups!A7</f>
        <v>6</v>
      </c>
      <c r="B7" s="8" t="str">
        <f>popups!B7</f>
        <v>LoganPopup</v>
      </c>
      <c r="C7" s="3" t="s">
        <v>93</v>
      </c>
      <c r="D7" s="3" t="s">
        <v>92</v>
      </c>
      <c r="F7" s="3" t="s">
        <v>91</v>
      </c>
      <c r="G7" s="3" t="s">
        <v>41</v>
      </c>
      <c r="H7" s="3" t="s">
        <v>94</v>
      </c>
    </row>
    <row r="8" spans="1:8" ht="30">
      <c r="A8" s="8">
        <f>popups!A8</f>
        <v>7</v>
      </c>
      <c r="B8" s="8" t="str">
        <f>popups!B8</f>
        <v>Cedar1898TornadoPopup</v>
      </c>
      <c r="C8" s="3" t="s">
        <v>111</v>
      </c>
      <c r="D8" s="3" t="s">
        <v>112</v>
      </c>
      <c r="F8" s="3" t="s">
        <v>119</v>
      </c>
      <c r="G8" s="3" t="s">
        <v>41</v>
      </c>
      <c r="H8" s="3" t="s">
        <v>113</v>
      </c>
    </row>
    <row r="9" spans="1:8" ht="30">
      <c r="A9" s="8">
        <f>popups!A9</f>
        <v>8</v>
      </c>
      <c r="B9" s="8" t="str">
        <f>popups!B9</f>
        <v>Cedar1965TornadoPopup</v>
      </c>
      <c r="C9" s="3" t="s">
        <v>127</v>
      </c>
      <c r="D9" s="3" t="s">
        <v>128</v>
      </c>
      <c r="F9" s="3" t="s">
        <v>130</v>
      </c>
      <c r="G9" s="3" t="s">
        <v>41</v>
      </c>
      <c r="H9" s="3" t="s">
        <v>129</v>
      </c>
    </row>
    <row r="10" spans="1:8" ht="30">
      <c r="A10" s="8">
        <f>popups!A10</f>
        <v>9</v>
      </c>
      <c r="B10" s="8" t="str">
        <f>popups!B10</f>
        <v>IdaGrove1891FloodPopup</v>
      </c>
      <c r="C10" s="3" t="s">
        <v>135</v>
      </c>
      <c r="D10" s="3" t="s">
        <v>134</v>
      </c>
      <c r="F10" s="3" t="s">
        <v>136</v>
      </c>
      <c r="G10" s="3" t="s">
        <v>41</v>
      </c>
      <c r="H10" s="3" t="s">
        <v>137</v>
      </c>
    </row>
    <row r="11" spans="1:8" ht="45">
      <c r="A11" s="8">
        <f>popups!A11</f>
        <v>10</v>
      </c>
      <c r="B11" s="8" t="str">
        <f>popups!B11</f>
        <v>Lyon1Popup</v>
      </c>
      <c r="C11" s="3" t="s">
        <v>148</v>
      </c>
      <c r="D11" s="3" t="s">
        <v>146</v>
      </c>
      <c r="F11" s="3" t="s">
        <v>155</v>
      </c>
      <c r="G11" s="3" t="s">
        <v>41</v>
      </c>
      <c r="H11" s="3" t="s">
        <v>147</v>
      </c>
    </row>
    <row r="12" spans="1:8" ht="30">
      <c r="A12" s="8">
        <f>popups!A12</f>
        <v>11</v>
      </c>
      <c r="B12" s="8" t="str">
        <f>popups!B12</f>
        <v>LyonLocustsPopup</v>
      </c>
      <c r="C12" s="3" t="s">
        <v>156</v>
      </c>
      <c r="D12" s="3" t="s">
        <v>157</v>
      </c>
      <c r="F12" s="3" t="s">
        <v>158</v>
      </c>
      <c r="G12" s="3" t="s">
        <v>41</v>
      </c>
      <c r="H12" s="3" t="s">
        <v>159</v>
      </c>
    </row>
    <row r="13" spans="1:8">
      <c r="A13" s="8">
        <f>popups!A13</f>
        <v>12</v>
      </c>
      <c r="B13" s="8" t="str">
        <f>popups!B13</f>
        <v>LyonEarlyFloodsPopup</v>
      </c>
      <c r="C13" s="3" t="s">
        <v>163</v>
      </c>
      <c r="D13" s="3" t="s">
        <v>157</v>
      </c>
      <c r="F13" s="3" t="s">
        <v>164</v>
      </c>
      <c r="G13" s="3" t="s">
        <v>41</v>
      </c>
      <c r="H13" s="3" t="s">
        <v>165</v>
      </c>
    </row>
    <row r="14" spans="1:8" ht="30">
      <c r="A14" s="8">
        <f>popups!A14</f>
        <v>13</v>
      </c>
      <c r="B14" s="8" t="str">
        <f>popups!B14</f>
        <v>LyonFloods2014Popup</v>
      </c>
      <c r="C14" s="3" t="s">
        <v>177</v>
      </c>
      <c r="D14" s="3" t="s">
        <v>185</v>
      </c>
      <c r="F14" s="3" t="s">
        <v>178</v>
      </c>
      <c r="G14" s="3" t="s">
        <v>41</v>
      </c>
      <c r="H14" s="3" t="s">
        <v>179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4"/>
  <sheetViews>
    <sheetView workbookViewId="0">
      <pane ySplit="1" topLeftCell="A2" activePane="bottomLeft" state="frozen"/>
      <selection pane="bottomLeft" activeCell="B14" sqref="B14"/>
    </sheetView>
  </sheetViews>
  <sheetFormatPr baseColWidth="10" defaultRowHeight="15" x14ac:dyDescent="0"/>
  <cols>
    <col min="2" max="2" width="18.83203125" customWidth="1"/>
    <col min="3" max="3" width="33.83203125" customWidth="1"/>
    <col min="4" max="7" width="13" customWidth="1"/>
    <col min="8" max="9" width="15.1640625" customWidth="1"/>
    <col min="10" max="10" width="37.83203125" customWidth="1"/>
  </cols>
  <sheetData>
    <row r="1" spans="1:10">
      <c r="A1" s="1" t="s">
        <v>0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</row>
    <row r="2" spans="1:10">
      <c r="A2" s="8">
        <f>popups!A2</f>
        <v>1</v>
      </c>
      <c r="B2" t="s">
        <v>43</v>
      </c>
      <c r="C2" t="s">
        <v>44</v>
      </c>
      <c r="D2">
        <v>444</v>
      </c>
      <c r="E2">
        <v>48</v>
      </c>
      <c r="J2" t="s">
        <v>45</v>
      </c>
    </row>
    <row r="3" spans="1:10">
      <c r="A3" s="8">
        <f>popups!A3</f>
        <v>2</v>
      </c>
      <c r="B3" t="s">
        <v>49</v>
      </c>
      <c r="C3" t="s">
        <v>57</v>
      </c>
      <c r="D3">
        <v>110</v>
      </c>
      <c r="E3">
        <v>85</v>
      </c>
      <c r="J3" t="s">
        <v>50</v>
      </c>
    </row>
    <row r="4" spans="1:10">
      <c r="A4" s="8">
        <f>popups!A4</f>
        <v>3</v>
      </c>
      <c r="B4" t="s">
        <v>58</v>
      </c>
      <c r="C4" t="s">
        <v>65</v>
      </c>
      <c r="D4">
        <v>100</v>
      </c>
      <c r="E4">
        <v>114</v>
      </c>
      <c r="J4" t="s">
        <v>59</v>
      </c>
    </row>
    <row r="5" spans="1:10">
      <c r="A5" s="8">
        <f>popups!A5</f>
        <v>4</v>
      </c>
      <c r="B5" t="s">
        <v>70</v>
      </c>
      <c r="C5" t="s">
        <v>74</v>
      </c>
      <c r="D5">
        <v>100</v>
      </c>
      <c r="E5">
        <v>53</v>
      </c>
      <c r="F5">
        <v>50</v>
      </c>
      <c r="G5">
        <v>53</v>
      </c>
      <c r="J5" t="s">
        <v>75</v>
      </c>
    </row>
    <row r="6" spans="1:10">
      <c r="A6" s="8">
        <f>popups!A6</f>
        <v>5</v>
      </c>
      <c r="B6" t="s">
        <v>81</v>
      </c>
      <c r="C6" t="s">
        <v>82</v>
      </c>
      <c r="D6">
        <v>120</v>
      </c>
      <c r="E6">
        <v>114</v>
      </c>
      <c r="J6" t="s">
        <v>83</v>
      </c>
    </row>
    <row r="7" spans="1:10">
      <c r="A7" s="8">
        <f>popups!A7</f>
        <v>6</v>
      </c>
      <c r="B7" t="s">
        <v>96</v>
      </c>
      <c r="C7" t="s">
        <v>99</v>
      </c>
      <c r="D7">
        <v>120</v>
      </c>
      <c r="E7">
        <v>118</v>
      </c>
      <c r="J7" t="s">
        <v>97</v>
      </c>
    </row>
    <row r="8" spans="1:10">
      <c r="A8" s="8">
        <f>popups!A8</f>
        <v>7</v>
      </c>
      <c r="B8" t="s">
        <v>114</v>
      </c>
      <c r="C8" t="s">
        <v>121</v>
      </c>
      <c r="J8" t="s">
        <v>120</v>
      </c>
    </row>
    <row r="9" spans="1:10">
      <c r="A9" s="8">
        <f>popups!A9</f>
        <v>8</v>
      </c>
      <c r="B9" t="s">
        <v>124</v>
      </c>
      <c r="C9" t="s">
        <v>121</v>
      </c>
      <c r="J9" t="s">
        <v>120</v>
      </c>
    </row>
    <row r="10" spans="1:10">
      <c r="A10" s="8">
        <f>popups!A10</f>
        <v>9</v>
      </c>
      <c r="B10" t="s">
        <v>139</v>
      </c>
      <c r="C10" t="s">
        <v>138</v>
      </c>
      <c r="D10">
        <v>150</v>
      </c>
      <c r="E10">
        <v>126</v>
      </c>
      <c r="J10" t="s">
        <v>140</v>
      </c>
    </row>
    <row r="11" spans="1:10">
      <c r="A11" s="8">
        <f>popups!A11</f>
        <v>10</v>
      </c>
      <c r="B11" t="s">
        <v>154</v>
      </c>
      <c r="C11" t="s">
        <v>149</v>
      </c>
      <c r="D11">
        <v>120</v>
      </c>
      <c r="E11">
        <v>117</v>
      </c>
      <c r="J11" t="s">
        <v>150</v>
      </c>
    </row>
    <row r="12" spans="1:10">
      <c r="A12" s="8">
        <f>popups!A12</f>
        <v>11</v>
      </c>
      <c r="B12" t="s">
        <v>160</v>
      </c>
      <c r="C12" t="s">
        <v>171</v>
      </c>
      <c r="D12">
        <v>150</v>
      </c>
      <c r="E12">
        <v>70</v>
      </c>
      <c r="J12" t="s">
        <v>169</v>
      </c>
    </row>
    <row r="13" spans="1:10">
      <c r="A13" s="8">
        <f>popups!A13</f>
        <v>12</v>
      </c>
      <c r="B13" t="s">
        <v>168</v>
      </c>
      <c r="C13" t="s">
        <v>170</v>
      </c>
      <c r="D13">
        <v>120</v>
      </c>
      <c r="E13">
        <v>70</v>
      </c>
      <c r="J13" t="s">
        <v>166</v>
      </c>
    </row>
    <row r="14" spans="1:10">
      <c r="A14" s="8">
        <f>popups!A14</f>
        <v>13</v>
      </c>
      <c r="B14" t="s">
        <v>182</v>
      </c>
      <c r="C14" t="s">
        <v>180</v>
      </c>
      <c r="D14">
        <v>150</v>
      </c>
      <c r="E14">
        <v>99</v>
      </c>
      <c r="J14" t="s">
        <v>181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O14"/>
  <sheetViews>
    <sheetView tabSelected="1" workbookViewId="0">
      <pane ySplit="1" topLeftCell="A7" activePane="bottomLeft" state="frozen"/>
      <selection pane="bottomLeft" activeCell="E14" sqref="E14"/>
    </sheetView>
  </sheetViews>
  <sheetFormatPr baseColWidth="10" defaultRowHeight="15" x14ac:dyDescent="0"/>
  <cols>
    <col min="1" max="1" width="2.83203125" style="5" bestFit="1" customWidth="1"/>
    <col min="2" max="2" width="23.6640625" style="5" customWidth="1"/>
    <col min="3" max="3" width="14.1640625" style="5" customWidth="1"/>
    <col min="4" max="4" width="23.6640625" style="5" customWidth="1"/>
    <col min="5" max="5" width="65.33203125" style="5" customWidth="1"/>
    <col min="6" max="6" width="19.33203125" style="5" customWidth="1"/>
    <col min="7" max="7" width="8.33203125" style="5" bestFit="1" customWidth="1"/>
    <col min="8" max="8" width="9.5" style="5" bestFit="1" customWidth="1"/>
    <col min="9" max="9" width="9.1640625" style="5" bestFit="1" customWidth="1"/>
    <col min="10" max="10" width="21.33203125" style="5" bestFit="1" customWidth="1"/>
    <col min="11" max="11" width="11.5" style="5" bestFit="1" customWidth="1"/>
    <col min="12" max="12" width="7.33203125" style="5" bestFit="1" customWidth="1"/>
    <col min="13" max="13" width="11.1640625" style="5" bestFit="1" customWidth="1"/>
    <col min="14" max="14" width="9.1640625" style="5" bestFit="1" customWidth="1"/>
    <col min="15" max="15" width="8" style="5" bestFit="1" customWidth="1"/>
    <col min="16" max="16384" width="10.83203125" style="5"/>
  </cols>
  <sheetData>
    <row r="1" spans="1:15">
      <c r="A1" s="4" t="s">
        <v>0</v>
      </c>
      <c r="B1" s="4" t="s">
        <v>27</v>
      </c>
      <c r="C1" s="4" t="s">
        <v>100</v>
      </c>
      <c r="D1" s="4" t="s">
        <v>101</v>
      </c>
      <c r="E1" s="4" t="s">
        <v>108</v>
      </c>
      <c r="F1" s="4" t="s">
        <v>18</v>
      </c>
      <c r="G1" s="4" t="s">
        <v>28</v>
      </c>
      <c r="H1" s="4" t="s">
        <v>29</v>
      </c>
      <c r="I1" s="4" t="s">
        <v>30</v>
      </c>
      <c r="J1" s="4" t="s">
        <v>12</v>
      </c>
      <c r="K1" s="4" t="s">
        <v>31</v>
      </c>
      <c r="L1" s="4" t="s">
        <v>32</v>
      </c>
      <c r="M1" s="4" t="s">
        <v>33</v>
      </c>
      <c r="N1" s="4" t="s">
        <v>34</v>
      </c>
      <c r="O1" s="4" t="s">
        <v>35</v>
      </c>
    </row>
    <row r="2" spans="1:15">
      <c r="A2" s="9">
        <f>popups!A2</f>
        <v>1</v>
      </c>
      <c r="B2" s="5" t="s">
        <v>46</v>
      </c>
      <c r="D2" s="5" t="s">
        <v>109</v>
      </c>
      <c r="E2" s="5" t="s">
        <v>102</v>
      </c>
      <c r="F2" s="9" t="s">
        <v>43</v>
      </c>
      <c r="J2" s="5" t="s">
        <v>47</v>
      </c>
      <c r="L2" s="5">
        <v>1</v>
      </c>
    </row>
    <row r="3" spans="1:15" ht="21" customHeight="1">
      <c r="A3" s="9">
        <f>popups!A3</f>
        <v>2</v>
      </c>
      <c r="B3" s="5" t="s">
        <v>55</v>
      </c>
      <c r="D3" s="5" t="s">
        <v>109</v>
      </c>
      <c r="E3" s="5" t="s">
        <v>103</v>
      </c>
      <c r="F3" s="9" t="s">
        <v>49</v>
      </c>
      <c r="J3" s="3" t="s">
        <v>53</v>
      </c>
      <c r="L3" s="5">
        <v>1</v>
      </c>
    </row>
    <row r="4" spans="1:15">
      <c r="A4" s="9">
        <f>popups!A4</f>
        <v>3</v>
      </c>
      <c r="B4" s="5" t="s">
        <v>60</v>
      </c>
      <c r="D4" s="5" t="s">
        <v>109</v>
      </c>
      <c r="E4" s="5" t="s">
        <v>104</v>
      </c>
      <c r="F4" s="9" t="s">
        <v>58</v>
      </c>
      <c r="J4" s="5" t="s">
        <v>61</v>
      </c>
      <c r="L4" s="5">
        <v>1</v>
      </c>
    </row>
    <row r="5" spans="1:15">
      <c r="A5" s="9">
        <f>popups!A5</f>
        <v>4</v>
      </c>
      <c r="B5" s="5" t="s">
        <v>72</v>
      </c>
      <c r="D5" s="5" t="s">
        <v>109</v>
      </c>
      <c r="E5" s="5" t="s">
        <v>105</v>
      </c>
      <c r="F5" s="10" t="s">
        <v>70</v>
      </c>
      <c r="J5" s="5" t="s">
        <v>71</v>
      </c>
      <c r="L5" s="5">
        <v>1</v>
      </c>
    </row>
    <row r="6" spans="1:15">
      <c r="A6" s="9">
        <f>popups!A6</f>
        <v>5</v>
      </c>
      <c r="B6" t="s">
        <v>84</v>
      </c>
      <c r="C6"/>
      <c r="D6" s="5" t="s">
        <v>109</v>
      </c>
      <c r="E6" t="s">
        <v>106</v>
      </c>
      <c r="F6" s="9" t="s">
        <v>81</v>
      </c>
      <c r="J6" s="5" t="s">
        <v>80</v>
      </c>
      <c r="L6" s="5">
        <v>1</v>
      </c>
    </row>
    <row r="7" spans="1:15">
      <c r="A7" s="9">
        <f>popups!A7</f>
        <v>6</v>
      </c>
      <c r="B7" t="s">
        <v>98</v>
      </c>
      <c r="C7"/>
      <c r="D7" s="5" t="s">
        <v>109</v>
      </c>
      <c r="E7" t="s">
        <v>107</v>
      </c>
      <c r="F7" s="9" t="str">
        <f>popups_icons!B7</f>
        <v>LoganIcon</v>
      </c>
      <c r="J7" s="5" t="s">
        <v>95</v>
      </c>
      <c r="L7" s="5">
        <v>1</v>
      </c>
    </row>
    <row r="8" spans="1:15">
      <c r="A8" s="9">
        <f>popups!A8</f>
        <v>7</v>
      </c>
      <c r="B8" s="5" t="s">
        <v>115</v>
      </c>
      <c r="C8" s="5" t="s">
        <v>118</v>
      </c>
      <c r="D8" s="5" t="s">
        <v>122</v>
      </c>
      <c r="E8" s="5" t="s">
        <v>132</v>
      </c>
      <c r="F8" s="9" t="str">
        <f>popups_icons!B8</f>
        <v>Cedar1898TornadoIcon</v>
      </c>
      <c r="J8" s="5" t="s">
        <v>116</v>
      </c>
      <c r="L8" s="5">
        <v>1</v>
      </c>
    </row>
    <row r="9" spans="1:15">
      <c r="A9" s="9">
        <f>popups!A9</f>
        <v>8</v>
      </c>
      <c r="B9" s="5" t="s">
        <v>123</v>
      </c>
      <c r="C9" s="5" t="s">
        <v>118</v>
      </c>
      <c r="D9" s="5" t="s">
        <v>122</v>
      </c>
      <c r="E9" s="5" t="s">
        <v>131</v>
      </c>
      <c r="F9" s="9" t="str">
        <f>popups_icons!B9</f>
        <v>Cedar1965TornadoIcon</v>
      </c>
      <c r="J9" s="5" t="s">
        <v>125</v>
      </c>
      <c r="L9" s="5">
        <v>1</v>
      </c>
    </row>
    <row r="10" spans="1:15">
      <c r="A10" s="9">
        <f>popups!A10</f>
        <v>9</v>
      </c>
      <c r="B10" s="5" t="s">
        <v>141</v>
      </c>
      <c r="D10" s="5" t="s">
        <v>109</v>
      </c>
      <c r="E10" s="5" t="s">
        <v>142</v>
      </c>
      <c r="F10" s="9" t="str">
        <f>popups_icons!B10</f>
        <v>IdaGroveIcon</v>
      </c>
      <c r="J10" s="5" t="s">
        <v>143</v>
      </c>
      <c r="L10" s="5">
        <v>1</v>
      </c>
    </row>
    <row r="11" spans="1:15">
      <c r="A11" s="9">
        <f>popups!A11</f>
        <v>10</v>
      </c>
      <c r="B11" s="5" t="s">
        <v>151</v>
      </c>
      <c r="D11" s="5" t="s">
        <v>109</v>
      </c>
      <c r="E11" s="5" t="s">
        <v>173</v>
      </c>
      <c r="F11" s="9" t="str">
        <f>popups_icons!B11</f>
        <v>LyonCountySeal</v>
      </c>
      <c r="J11" s="5" t="s">
        <v>152</v>
      </c>
      <c r="L11" s="5">
        <v>1</v>
      </c>
    </row>
    <row r="12" spans="1:15">
      <c r="A12" s="9">
        <f>popups!A12</f>
        <v>11</v>
      </c>
      <c r="B12" s="5" t="s">
        <v>161</v>
      </c>
      <c r="D12" s="5" t="s">
        <v>109</v>
      </c>
      <c r="E12" s="5" t="s">
        <v>187</v>
      </c>
      <c r="F12" s="9" t="str">
        <f>popups_icons!B12</f>
        <v>Locust</v>
      </c>
      <c r="J12" t="s">
        <v>162</v>
      </c>
      <c r="L12" s="5">
        <v>1</v>
      </c>
    </row>
    <row r="13" spans="1:15" ht="30">
      <c r="A13" s="9">
        <f>popups!A13</f>
        <v>12</v>
      </c>
      <c r="B13" s="5" t="s">
        <v>167</v>
      </c>
      <c r="D13" s="5" t="s">
        <v>109</v>
      </c>
      <c r="E13" s="3" t="s">
        <v>172</v>
      </c>
      <c r="F13" s="9" t="str">
        <f>popups_icons!B13</f>
        <v>BIsonHunter</v>
      </c>
      <c r="J13" t="s">
        <v>166</v>
      </c>
      <c r="L13" s="5">
        <v>1</v>
      </c>
    </row>
    <row r="14" spans="1:15">
      <c r="A14" s="9">
        <f>popups!A14</f>
        <v>13</v>
      </c>
      <c r="B14" s="5" t="s">
        <v>183</v>
      </c>
      <c r="D14" s="5" t="s">
        <v>109</v>
      </c>
      <c r="E14" t="s">
        <v>186</v>
      </c>
      <c r="F14" s="9" t="str">
        <f>popups_icons!B14</f>
        <v>WaterOverRoad</v>
      </c>
      <c r="J14" t="s">
        <v>184</v>
      </c>
      <c r="L14" s="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14"/>
  <sheetViews>
    <sheetView workbookViewId="0">
      <pane ySplit="1" topLeftCell="A2" activePane="bottomLeft" state="frozen"/>
      <selection pane="bottomLeft" activeCell="F23" sqref="F23"/>
    </sheetView>
  </sheetViews>
  <sheetFormatPr baseColWidth="10" defaultRowHeight="15" x14ac:dyDescent="0"/>
  <cols>
    <col min="2" max="5" width="22.5" customWidth="1"/>
  </cols>
  <sheetData>
    <row r="1" spans="1:7">
      <c r="A1" s="1" t="s">
        <v>0</v>
      </c>
      <c r="B1" s="1" t="s">
        <v>36</v>
      </c>
      <c r="C1" s="1" t="s">
        <v>27</v>
      </c>
      <c r="D1" s="1" t="s">
        <v>18</v>
      </c>
      <c r="E1" s="1" t="s">
        <v>1</v>
      </c>
      <c r="F1" s="2" t="s">
        <v>10</v>
      </c>
      <c r="G1" s="2" t="s">
        <v>11</v>
      </c>
    </row>
    <row r="2" spans="1:7">
      <c r="A2" s="10">
        <f>popups!A2</f>
        <v>1</v>
      </c>
      <c r="B2" t="s">
        <v>48</v>
      </c>
      <c r="C2" s="10" t="s">
        <v>46</v>
      </c>
      <c r="D2" s="10" t="s">
        <v>43</v>
      </c>
      <c r="E2" s="10" t="s">
        <v>37</v>
      </c>
      <c r="F2">
        <v>-20</v>
      </c>
      <c r="G2">
        <v>15</v>
      </c>
    </row>
    <row r="3" spans="1:7">
      <c r="A3" s="10">
        <f>popups!A3</f>
        <v>2</v>
      </c>
      <c r="B3" t="s">
        <v>48</v>
      </c>
      <c r="C3" s="10" t="s">
        <v>55</v>
      </c>
      <c r="D3" s="10" t="s">
        <v>49</v>
      </c>
      <c r="E3" s="8" t="s">
        <v>51</v>
      </c>
      <c r="F3">
        <v>20</v>
      </c>
      <c r="G3">
        <v>20</v>
      </c>
    </row>
    <row r="4" spans="1:7">
      <c r="A4" s="10">
        <f>popups!A4</f>
        <v>3</v>
      </c>
      <c r="B4" t="s">
        <v>48</v>
      </c>
      <c r="C4" s="10" t="s">
        <v>60</v>
      </c>
      <c r="D4" s="9" t="s">
        <v>58</v>
      </c>
      <c r="E4" s="8" t="s">
        <v>62</v>
      </c>
      <c r="F4">
        <v>175</v>
      </c>
      <c r="G4">
        <v>225</v>
      </c>
    </row>
    <row r="5" spans="1:7">
      <c r="A5" s="10">
        <f>popups!A5</f>
        <v>4</v>
      </c>
      <c r="B5" t="s">
        <v>73</v>
      </c>
      <c r="C5" s="9" t="s">
        <v>72</v>
      </c>
      <c r="D5" s="10" t="s">
        <v>70</v>
      </c>
      <c r="E5" s="10" t="s">
        <v>69</v>
      </c>
    </row>
    <row r="6" spans="1:7">
      <c r="A6" s="10">
        <f>popups!A6</f>
        <v>5</v>
      </c>
      <c r="B6" t="s">
        <v>73</v>
      </c>
      <c r="C6" s="10" t="str">
        <f>popups_markers!B6</f>
        <v>PersiaYorkshireMarker</v>
      </c>
      <c r="D6" s="10" t="str">
        <f>popups_icons!B6</f>
        <v>PersiaYorkshireIcon</v>
      </c>
      <c r="E6" s="8" t="str">
        <f>popups!B6</f>
        <v>PersiaYorkshirePopup</v>
      </c>
    </row>
    <row r="7" spans="1:7">
      <c r="A7" s="10">
        <f>popups!A7</f>
        <v>6</v>
      </c>
      <c r="B7" t="s">
        <v>73</v>
      </c>
      <c r="C7" s="10" t="str">
        <f>popups_markers!B7</f>
        <v>LoganMarker</v>
      </c>
      <c r="D7" s="10" t="str">
        <f>popups_icons!B7</f>
        <v>LoganIcon</v>
      </c>
      <c r="E7" s="8" t="str">
        <f>popups!B7</f>
        <v>LoganPopup</v>
      </c>
    </row>
    <row r="8" spans="1:7">
      <c r="A8" s="10">
        <f>popups!A8</f>
        <v>7</v>
      </c>
      <c r="B8" t="s">
        <v>117</v>
      </c>
      <c r="C8" s="10" t="str">
        <f>popups_markers!B8</f>
        <v>Cedar1898TornadoMarker</v>
      </c>
      <c r="D8" s="10" t="str">
        <f>popups_icons!B8</f>
        <v>Cedar1898TornadoIcon</v>
      </c>
      <c r="E8" s="8" t="str">
        <f>popups!B8</f>
        <v>Cedar1898TornadoPopup</v>
      </c>
    </row>
    <row r="9" spans="1:7">
      <c r="A9" s="10">
        <f>popups!A9</f>
        <v>8</v>
      </c>
      <c r="B9" t="s">
        <v>117</v>
      </c>
      <c r="C9" s="10" t="str">
        <f>popups_markers!B9</f>
        <v>Cedar1965TornadoMarker</v>
      </c>
      <c r="D9" s="10" t="str">
        <f>popups_icons!B9</f>
        <v>Cedar1965TornadoIcon</v>
      </c>
      <c r="E9" s="8" t="str">
        <f>popups!B9</f>
        <v>Cedar1965TornadoPopup</v>
      </c>
    </row>
    <row r="10" spans="1:7">
      <c r="A10" s="10">
        <f>popups!A10</f>
        <v>9</v>
      </c>
      <c r="B10" t="s">
        <v>144</v>
      </c>
      <c r="C10" s="10" t="str">
        <f>popups_markers!B10</f>
        <v>Ida1891FloodMarker</v>
      </c>
      <c r="D10" s="10" t="str">
        <f>popups_icons!B10</f>
        <v>IdaGroveIcon</v>
      </c>
      <c r="E10" s="8" t="str">
        <f>popups!B10</f>
        <v>IdaGrove1891FloodPopup</v>
      </c>
    </row>
    <row r="11" spans="1:7">
      <c r="A11" s="10">
        <f>popups!A11</f>
        <v>10</v>
      </c>
      <c r="B11" t="s">
        <v>153</v>
      </c>
      <c r="C11" s="10" t="str">
        <f>popups_markers!B11</f>
        <v>Lyon1Marker</v>
      </c>
      <c r="D11" s="10" t="str">
        <f>popups_icons!B11</f>
        <v>LyonCountySeal</v>
      </c>
      <c r="E11" s="8" t="str">
        <f>popups!B11</f>
        <v>Lyon1Popup</v>
      </c>
    </row>
    <row r="12" spans="1:7">
      <c r="A12" s="10">
        <f>popups!A12</f>
        <v>11</v>
      </c>
      <c r="B12" t="s">
        <v>153</v>
      </c>
      <c r="C12" s="10" t="str">
        <f>popups_markers!B12</f>
        <v>LocustMarker</v>
      </c>
      <c r="D12" s="10" t="str">
        <f>popups_icons!B12</f>
        <v>Locust</v>
      </c>
      <c r="E12" s="8" t="str">
        <f>popups!B12</f>
        <v>LyonLocustsPopup</v>
      </c>
    </row>
    <row r="13" spans="1:7">
      <c r="A13" s="10">
        <f>popups!A13</f>
        <v>12</v>
      </c>
      <c r="B13" t="s">
        <v>153</v>
      </c>
      <c r="C13" s="10" t="str">
        <f>popups_markers!B13</f>
        <v>EarlyFloodsMarker</v>
      </c>
      <c r="D13" s="10" t="str">
        <f>popups_icons!B13</f>
        <v>BIsonHunter</v>
      </c>
      <c r="E13" s="8" t="str">
        <f>popups!B13</f>
        <v>LyonEarlyFloodsPopup</v>
      </c>
    </row>
    <row r="14" spans="1:7">
      <c r="A14" s="10">
        <f>popups!A14</f>
        <v>13</v>
      </c>
      <c r="B14" t="s">
        <v>153</v>
      </c>
      <c r="C14" s="10" t="str">
        <f>popups_markers!B14</f>
        <v>LyonFlood2014Marker</v>
      </c>
      <c r="D14" s="10" t="str">
        <f>popups_icons!B14</f>
        <v>WaterOverRoad</v>
      </c>
      <c r="E14" s="8" t="str">
        <f>popups!B14</f>
        <v>LyonFloods2014Popup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popups</vt:lpstr>
      <vt:lpstr>popups_content</vt:lpstr>
      <vt:lpstr>popups_icons</vt:lpstr>
      <vt:lpstr>popups_markers</vt:lpstr>
      <vt:lpstr>popups_views</vt:lpstr>
    </vt:vector>
  </TitlesOfParts>
  <Company>DSPH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NeuCollins</dc:creator>
  <cp:lastModifiedBy>Mark NeuCollins</cp:lastModifiedBy>
  <dcterms:created xsi:type="dcterms:W3CDTF">2013-12-02T01:04:08Z</dcterms:created>
  <dcterms:modified xsi:type="dcterms:W3CDTF">2015-07-31T02:09:21Z</dcterms:modified>
</cp:coreProperties>
</file>