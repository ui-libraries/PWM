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2460" yWindow="560" windowWidth="25760" windowHeight="16060" tabRatio="500" activeTab="3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2" l="1"/>
  <c r="F9" i="4"/>
  <c r="E9" i="5"/>
  <c r="D9" i="5"/>
  <c r="C9" i="5"/>
  <c r="E8" i="5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<sst xmlns="http://schemas.openxmlformats.org/spreadsheetml/2006/main" count="188" uniqueCount="133">
  <si>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</si>
  <si>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</si>
  <si>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</si>
  <si>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</si>
  <si>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</si>
  <si>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</si>
  <si>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</si>
  <si>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</si>
  <si>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</si>
  <si>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</si>
  <si>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</si>
  <si>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</si>
  <si>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</si>
  <si>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</si>
  <si>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</si>
  <si>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</si>
  <si>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</si>
  <si>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</si>
  <si>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</si>
  <si>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</si>
  <si>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</si>
  <si>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</si>
  <si>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</si>
  <si>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</si>
  <si>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</si>
  <si>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</si>
  <si>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</si>
  <si>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</si>
  <si>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</si>
  <si>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</si>
  <si>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</si>
  <si>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</si>
  <si>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</si>
  <si>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</si>
  <si>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</si>
  <si>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</si>
  <si>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</si>
  <si>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</si>
  <si>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</si>
  <si>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</si>
  <si>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</si>
  <si>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</si>
  <si>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</si>
  <si>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</si>
  <si>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</si>
  <si>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</si>
  <si>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</si>
  <si>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</si>
  <si>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</si>
  <si>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</si>
  <si>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</si>
  <si>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</si>
  <si>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</si>
  <si>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</si>
  <si>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</si>
  <si>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</si>
  <si>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</si>
  <si>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</si>
  <si>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</si>
  <si>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</si>
  <si>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</si>
  <si>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</si>
  <si>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</si>
  <si>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</si>
  <si>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</si>
  <si>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</si>
  <si>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</si>
  <si>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</si>
  <si>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</si>
  <si>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</si>
  <si>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</si>
  <si>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</si>
  <si>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</si>
  <si>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</si>
  <si>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</si>
  <si>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</si>
  <si>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</si>
  <si>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</si>
  <si>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</si>
  <si>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</si>
  <si>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</si>
  <si>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</si>
  <si>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</si>
  <si>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</si>
  <si>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</si>
  <si>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</si>
  <si>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</si>
  <si>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</si>
  <si>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</si>
  <si>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</si>
  <si>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</si>
  <si>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</si>
  <si>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</si>
  <si>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</si>
  <si>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</si>
  <si>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</si>
  <si>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</si>
  <si>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</si>
  <si>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</si>
  <si>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</si>
  <si>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</si>
  <si>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</si>
  <si>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</si>
  <si>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</si>
  <si>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</si>
  <si>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</si>
  <si>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</si>
  <si>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</si>
  <si>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</si>
  <si>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</si>
  <si>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</si>
  <si>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</si>
  <si>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</si>
  <si>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</si>
  <si>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</si>
  <si>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</si>
  <si>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</si>
  <si>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</si>
  <si>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</si>
  <si>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</si>
  <si>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</si>
  <si>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none</t>
  </si>
  <si>
    <t>line</t>
  </si>
  <si>
    <t>Cedar1965TornadoMarker</t>
  </si>
  <si>
    <t>Cedar1965TornadoIcon</t>
  </si>
  <si>
    <t>Cedar 1965 Tornado</t>
  </si>
  <si>
    <t>Cedar1965TornadoPopup</t>
  </si>
  <si>
    <t>1965 Tornado</t>
  </si>
  <si>
    <t>Cedar County Palm Sunday Tornado</t>
  </si>
  <si>
    <t>home/story/cedar/1965Tornado</t>
  </si>
  <si>
    <t>cedar/popups/1965TornadoPopup.jpg</t>
  </si>
  <si>
    <t>[41.80016907075043,-91.06276441021384],[41.81467142960757,-91.03983257089766],[41.84914390799869,-90.98595969485159],[41.8527369101403,-90.97999397314413],[41.86953567991137,-90.95711181833796],[41.87487880563377,-90.95253001407983],[41.88364914709426,-90.94077440786104],[41.88967599596352,-90.93683471975039],[41.89986933536214,-90.92329835580601],[41.9133585899547,-90.90855553608368]</t>
  </si>
  <si>
    <t>[41.87309067492986,-91.14876766530863],[41.88369136394671,-91.13291716852328],[41.88785019548606,-91.11752600613018],[41.88903236066313,-91.10671025205070],[41.88948587592965,-91.08515680241602],[41.89678752024777,-91.06068446824604],[41.89565506246908,-91.04843836373004],[41.89663294336921,-91.04062153405235],[41.90372055060612,-91.03070368335445],[41.91476038229689,-90.95837572027072],[41.91490897314944,-90.95459910639092],[41.91673554536686,-90.94018289385917],[41.91921952947151,-90.93440526480154],[41.92073632245679,-90.92135184874788]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</si>
</sst>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9"/>
  <sheetViews>
    <sheetView workbookViewId="0">
      <pane ySplit="1" topLeftCell="A2" activePane="bottomLeft" state="frozen"/>
      <selection pane="bottomLeft" activeCell="E9" sqref="E9:H9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  <row r="9" spans="1:12">
      <c r="A9" s="3">
        <v>8</v>
      </c>
      <c r="B9" s="3" t="s">
        <v>126</v>
      </c>
      <c r="E9" s="3">
        <v>320</v>
      </c>
      <c r="F9" s="3">
        <v>300</v>
      </c>
      <c r="H9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3"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3"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3"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3"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3"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3"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3"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  <row r="9" spans="1:8" ht="30">
      <c r="A9" s="3">
        <v>8</v>
      </c>
      <c r="B9" s="8" t="str">
        <f>popups!B9</f>
        <v>Cedar1965TornadoPopup</v>
      </c>
      <c r="C9" s="3" t="s">
        <v>127</v>
      </c>
      <c r="D9" s="3" t="s">
        <v>128</v>
      </c>
      <c r="F9" s="3" t="s">
        <v>130</v>
      </c>
      <c r="G9" s="3" t="s">
        <v>41</v>
      </c>
      <c r="H9" s="3" t="s">
        <v>129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9"/>
  <sheetViews>
    <sheetView workbookViewId="0">
      <pane ySplit="1" topLeftCell="A2" activePane="bottomLeft" state="frozen"/>
      <selection pane="bottomLeft" activeCell="C14" sqref="C14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>
        <v>7</v>
      </c>
      <c r="B8" t="s">
        <v>114</v>
      </c>
      <c r="C8" t="s">
        <v>121</v>
      </c>
      <c r="J8" t="s">
        <v>120</v>
      </c>
    </row>
    <row r="9" spans="1:10">
      <c r="A9">
        <v>8</v>
      </c>
      <c r="B9" t="s">
        <v>124</v>
      </c>
      <c r="C9" t="s">
        <v>121</v>
      </c>
      <c r="J9" t="s">
        <v>120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9"/>
  <sheetViews>
    <sheetView tabSelected="1" workbookViewId="0">
      <selection activeCell="C10" sqref="C10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4" width="23.6640625" style="5" customWidth="1"/>
    <col min="5" max="5" width="65.332031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5"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5"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5"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5"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5"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5"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5">
        <v>7</v>
      </c>
      <c r="B8" s="5" t="s">
        <v>115</v>
      </c>
      <c r="C8" s="5" t="s">
        <v>118</v>
      </c>
      <c r="D8" s="5" t="s">
        <v>122</v>
      </c>
      <c r="E8" s="5" t="s">
        <v>132</v>
      </c>
      <c r="F8" s="9" t="str">
        <f>popups_icons!B8</f>
        <v>Cedar1898TornadoIcon</v>
      </c>
      <c r="J8" s="5" t="s">
        <v>116</v>
      </c>
      <c r="L8" s="5">
        <v>1</v>
      </c>
    </row>
    <row r="9" spans="1:15">
      <c r="A9" s="5">
        <v>8</v>
      </c>
      <c r="B9" s="5" t="s">
        <v>123</v>
      </c>
      <c r="C9" s="5" t="s">
        <v>118</v>
      </c>
      <c r="D9" s="5" t="s">
        <v>122</v>
      </c>
      <c r="E9" s="5" t="s">
        <v>131</v>
      </c>
      <c r="F9" s="9" t="str">
        <f>popups_icons!B9</f>
        <v>Cedar1965TornadoIcon</v>
      </c>
      <c r="J9" s="5" t="s">
        <v>125</v>
      </c>
      <c r="L9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9"/>
  <sheetViews>
    <sheetView workbookViewId="0">
      <pane ySplit="1" topLeftCell="A2" activePane="bottomLeft" state="frozen"/>
      <selection pane="bottomLeft" activeCell="G10" sqref="G10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</row>
    <row r="9" spans="1:7">
      <c r="A9">
        <v>8</v>
      </c>
      <c r="B9" t="s">
        <v>117</v>
      </c>
      <c r="C9" s="10" t="str">
        <f>popups_markers!B9</f>
        <v>Cedar1965TornadoMarker</v>
      </c>
      <c r="D9" s="10" t="str">
        <f>popups_icons!B9</f>
        <v>Cedar1965TornadoIcon</v>
      </c>
      <c r="E9" s="8" t="str">
        <f>popups!B9</f>
        <v>Cedar1965TornadoPopup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2015-05-01T21:29:24Z</dcterms:modified>
</cp:coreProperties>
</file>