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2440" yWindow="560" windowWidth="25760" windowHeight="16060" tabRatio="500" activeTab="4"/>
  </bookViews>
  <sheets>
    <sheet name="popups" sheetId="1" r:id="rId1"/>
    <sheet name="popups_content" sheetId="2" r:id="rId2"/>
    <sheet name="popups_icons" sheetId="3" r:id="rId3"/>
    <sheet name="popups_markers" sheetId="4" r:id="rId4"/>
    <sheet name="popups_view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8" i="5" l="1"/>
  <c r="D8" i="5"/>
  <c r="C8" i="5"/>
  <c r="F8" i="4"/>
  <c r="B8" i="2"/>
  <c r="D7" i="5"/>
  <c r="F7" i="4"/>
  <c r="E7" i="5"/>
  <c r="C7" i="5"/>
  <c r="B7" i="2"/>
  <c r="B6" i="2"/>
  <c r="E6" i="5"/>
  <c r="D6" i="5"/>
  <c r="C6" i="5"/>
</calcChain>
</file>

<file path=xl/sharedStrings.xml><?xml version="1.0" encoding="utf-8"?>
<sst xmlns="http://schemas.openxmlformats.org/spreadsheetml/2006/main" count="173" uniqueCount="124">
  <si>
    <t>id</t>
  </si>
  <si>
    <t>popupname</t>
  </si>
  <si>
    <t xml:space="preserve"> setlat</t>
  </si>
  <si>
    <t>setlng</t>
  </si>
  <si>
    <t>maxwidth</t>
  </si>
  <si>
    <t>minwidth</t>
  </si>
  <si>
    <t>maxheight</t>
  </si>
  <si>
    <t>autopan</t>
  </si>
  <si>
    <t>keepinview</t>
  </si>
  <si>
    <t>closebutton</t>
  </si>
  <si>
    <t>offset_x</t>
  </si>
  <si>
    <t>offset_y</t>
  </si>
  <si>
    <t>title</t>
  </si>
  <si>
    <t>subtitle</t>
  </si>
  <si>
    <t>body</t>
  </si>
  <si>
    <t>imageurl</t>
  </si>
  <si>
    <t>buttontxt</t>
  </si>
  <si>
    <t>buttonurl</t>
  </si>
  <si>
    <t>iconname</t>
  </si>
  <si>
    <t>iconurl</t>
  </si>
  <si>
    <t>iconsize_x</t>
  </si>
  <si>
    <t>iconsize_y</t>
  </si>
  <si>
    <t>iconanchor_x</t>
  </si>
  <si>
    <t>iconanchor_y</t>
  </si>
  <si>
    <t>popupanchor_x</t>
  </si>
  <si>
    <t>popupanchor_y</t>
  </si>
  <si>
    <t>desc</t>
  </si>
  <si>
    <t>markername</t>
  </si>
  <si>
    <t>clickable</t>
  </si>
  <si>
    <t>draggable</t>
  </si>
  <si>
    <t>keyboard</t>
  </si>
  <si>
    <t>zindexoffset</t>
  </si>
  <si>
    <t>opacity</t>
  </si>
  <si>
    <t>riseonhover</t>
  </si>
  <si>
    <t>riseoffset</t>
  </si>
  <si>
    <t>location</t>
  </si>
  <si>
    <t>viewname</t>
  </si>
  <si>
    <t>Whpopup</t>
  </si>
  <si>
    <t>Flood of 1929</t>
  </si>
  <si>
    <t>Williams and Hunting Company</t>
  </si>
  <si>
    <t>linn/popups/WilliamsAndHuntingWoodcut.jpg</t>
  </si>
  <si>
    <t>Go To Story</t>
  </si>
  <si>
    <t>home/story/linn/WH</t>
  </si>
  <si>
    <t>WHTextLogo</t>
  </si>
  <si>
    <t>linn/popups/WHLogo-sm.jpg</t>
  </si>
  <si>
    <t>Williams and Hunting Text Logo</t>
  </si>
  <si>
    <t>Whmarker</t>
  </si>
  <si>
    <t>Williams And Hunting Co</t>
  </si>
  <si>
    <t>linn</t>
  </si>
  <si>
    <t>Midland</t>
  </si>
  <si>
    <t>Midland Sign</t>
  </si>
  <si>
    <t>MidlandPopup</t>
  </si>
  <si>
    <t>Flood of 2008</t>
  </si>
  <si>
    <t>Iowa Midland Supply Inc.</t>
  </si>
  <si>
    <t>home/story/linn/Midland</t>
  </si>
  <si>
    <t>MidlandMarker</t>
  </si>
  <si>
    <t>linn/popups/MidlandFront.jpg</t>
  </si>
  <si>
    <t>linn/popups/MidlandIcon.png</t>
  </si>
  <si>
    <t>VetsIcon</t>
  </si>
  <si>
    <t>Veterans Memorial Building, 1927 Sign</t>
  </si>
  <si>
    <t>VetsMarker</t>
  </si>
  <si>
    <t>Veterans Memorial Building</t>
  </si>
  <si>
    <t>VetsPopup</t>
  </si>
  <si>
    <r>
      <t>&lt;div class="caption"&gt;Robert Nunn linoleum cut from 1930 in &lt;i&gt;</t>
    </r>
    <r>
      <rPr>
        <i/>
        <sz val="12"/>
        <color theme="1"/>
        <rFont val="Cambria"/>
      </rPr>
      <t xml:space="preserve">This is Iowa:  A Cavalcade of the Tall Corn State&lt;/i&gt; </t>
    </r>
    <r>
      <rPr>
        <sz val="12"/>
        <color theme="1"/>
        <rFont val="Cambria"/>
      </rPr>
      <t xml:space="preserve"> by Clarence A. Andrews (1982) at &lt;a href="http://projects.mtmercy.edu/stonecity/artists/nunn.html" target = "_blank"&gt;projects.mtmercy.edu/stonecity/artists/nunn.html&lt;/a&gt;&lt;/div&gt;</t>
    </r>
  </si>
  <si>
    <t>Veterans Memorial on  Mays Island</t>
  </si>
  <si>
    <t>linn/popups/VetsIcon.png</t>
  </si>
  <si>
    <t>linn/popups/VetsPrint.jpg</t>
  </si>
  <si>
    <t>home/story/linn/Vets</t>
  </si>
  <si>
    <t>Floods of 1929, 2008</t>
  </si>
  <si>
    <t>WoodbinePopup</t>
  </si>
  <si>
    <t>WoodbineIcon</t>
  </si>
  <si>
    <t>Woodbine Twiner Masthead</t>
  </si>
  <si>
    <t>WoodbineMarker</t>
  </si>
  <si>
    <t>harrison</t>
  </si>
  <si>
    <t>harrison/popups/WoodbineWayMarkerIcon.png</t>
  </si>
  <si>
    <t>Woodbine Time Capsule Marker</t>
  </si>
  <si>
    <t>home/story/harrison/Woodbine1913</t>
  </si>
  <si>
    <t>harrison/popups/WoodbineTwinerPopup.jpg</t>
  </si>
  <si>
    <t>Easter Tornado of 1913</t>
  </si>
  <si>
    <t>Woodbine, Iowa</t>
  </si>
  <si>
    <t>Persia and Yorkshire</t>
  </si>
  <si>
    <t>PersiaYorkshireIcon</t>
  </si>
  <si>
    <t>harrison/popups/PersiaYorkshireIcon.png</t>
  </si>
  <si>
    <t>Man Splitting Wood</t>
  </si>
  <si>
    <t>PersiaYorkshireMarker</t>
  </si>
  <si>
    <t>PersiaYorkshirePopup</t>
  </si>
  <si>
    <t>1925 Tornadoes</t>
  </si>
  <si>
    <t>Persia and Yorkshire, Iowa</t>
  </si>
  <si>
    <t>harrison/popups/PersiaYorkshirePopup.jpg</t>
  </si>
  <si>
    <t>home/story/harrison/PersiaYorkshire1925</t>
  </si>
  <si>
    <t>LoganPopup</t>
  </si>
  <si>
    <t>harrison/popups/LoganPopup.jpg</t>
  </si>
  <si>
    <t>Logan, Iowa</t>
  </si>
  <si>
    <t>1999 Tornadoes</t>
  </si>
  <si>
    <t>home/story/harrison/Logan1999</t>
  </si>
  <si>
    <t>Logan</t>
  </si>
  <si>
    <t>LoganIcon</t>
  </si>
  <si>
    <t>Logan Iowa Logo</t>
  </si>
  <si>
    <t>LoganMarker</t>
  </si>
  <si>
    <t>harrison/popups/LoganIcon.png</t>
  </si>
  <si>
    <t>layergroup</t>
  </si>
  <si>
    <t>markertype</t>
  </si>
  <si>
    <t>41.9715997839848,-91.668848991394</t>
  </si>
  <si>
    <t>41.974256,-91.662294</t>
  </si>
  <si>
    <t>41.976720578,-91.6710591316</t>
  </si>
  <si>
    <t>41.7387846530874,-95.7070541381835</t>
  </si>
  <si>
    <t>41.5494945961141,-95.5803680419921</t>
  </si>
  <si>
    <t>41.607484919548,-95.7818126678466</t>
  </si>
  <si>
    <t>coords</t>
  </si>
  <si>
    <t>point</t>
  </si>
  <si>
    <t>Cedar1898TornadoPopup</t>
  </si>
  <si>
    <t>1898 Tornado</t>
  </si>
  <si>
    <t>Western Cedar County, Iowa</t>
  </si>
  <si>
    <t>home/story/cedar/1898Tornado</t>
  </si>
  <si>
    <t>Cedar1898TornadoIcon</t>
  </si>
  <si>
    <t>Cedar1898TornadoMarker</t>
  </si>
  <si>
    <t>Cedar 1898 Tornado</t>
  </si>
  <si>
    <t>cedar</t>
  </si>
  <si>
    <t>tornadoes</t>
  </si>
  <si>
    <t>cedar/popups/1898TornadoPopup.jpg</t>
  </si>
  <si>
    <t>Tornado Path</t>
  </si>
  <si>
    <t>[41.871606,-91.255016],[41.873651,-91.152706],[41.891033,-91.095715]</t>
  </si>
  <si>
    <t>none</t>
  </si>
  <si>
    <t>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</si>
</sst>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mbria"/>
    </font>
    <font>
      <i/>
      <sz val="12"/>
      <color theme="1"/>
      <name val="Cambria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0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quotePrefix="1" applyAlignment="1">
      <alignment vertical="top" wrapText="1"/>
    </xf>
    <xf numFmtId="0" fontId="4" fillId="0" borderId="0" xfId="0" applyFont="1"/>
    <xf numFmtId="0" fontId="0" fillId="3" borderId="0" xfId="0" applyFill="1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/>
  </cellXfs>
  <cellStyles count="10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8"/>
  <sheetViews>
    <sheetView workbookViewId="0">
      <pane ySplit="1" topLeftCell="A2" activePane="bottomLeft" state="frozen"/>
      <selection pane="bottomLeft" activeCell="H13" sqref="H13"/>
    </sheetView>
  </sheetViews>
  <sheetFormatPr baseColWidth="10" defaultRowHeight="15" x14ac:dyDescent="0"/>
  <cols>
    <col min="1" max="1" width="10.83203125" style="3"/>
    <col min="2" max="2" width="24.33203125" style="3" customWidth="1"/>
    <col min="3" max="16384" width="10.83203125" style="3"/>
  </cols>
  <sheetData>
    <row r="1" spans="1:12" ht="3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 t="s">
        <v>37</v>
      </c>
      <c r="E2" s="3">
        <v>562</v>
      </c>
      <c r="F2" s="3">
        <v>540</v>
      </c>
      <c r="H2" s="6" t="b">
        <v>1</v>
      </c>
    </row>
    <row r="3" spans="1:12">
      <c r="A3" s="3">
        <v>2</v>
      </c>
      <c r="B3" s="3" t="s">
        <v>51</v>
      </c>
      <c r="E3" s="3">
        <v>450</v>
      </c>
      <c r="F3" s="3">
        <v>430</v>
      </c>
      <c r="H3" s="3" t="b">
        <v>1</v>
      </c>
    </row>
    <row r="4" spans="1:12">
      <c r="A4" s="3">
        <v>3</v>
      </c>
      <c r="B4" s="3" t="s">
        <v>62</v>
      </c>
      <c r="E4" s="3">
        <v>350</v>
      </c>
      <c r="F4" s="3">
        <v>330</v>
      </c>
      <c r="H4" s="3" t="b">
        <v>1</v>
      </c>
    </row>
    <row r="5" spans="1:12">
      <c r="A5" s="3">
        <v>4</v>
      </c>
      <c r="B5" s="3" t="s">
        <v>69</v>
      </c>
      <c r="E5" s="3">
        <v>350</v>
      </c>
      <c r="F5" s="3">
        <v>330</v>
      </c>
      <c r="H5" s="3" t="b">
        <v>1</v>
      </c>
    </row>
    <row r="6" spans="1:12">
      <c r="A6" s="3">
        <v>5</v>
      </c>
      <c r="B6" s="3" t="s">
        <v>85</v>
      </c>
      <c r="E6" s="3">
        <v>240</v>
      </c>
      <c r="F6" s="3">
        <v>222</v>
      </c>
      <c r="H6" s="3" t="b">
        <v>1</v>
      </c>
    </row>
    <row r="7" spans="1:12">
      <c r="A7" s="3">
        <v>6</v>
      </c>
      <c r="B7" s="3" t="s">
        <v>90</v>
      </c>
      <c r="E7" s="3">
        <v>320</v>
      </c>
      <c r="F7" s="3">
        <v>300</v>
      </c>
      <c r="H7" s="3" t="b">
        <v>1</v>
      </c>
    </row>
    <row r="8" spans="1:12">
      <c r="A8" s="3">
        <v>7</v>
      </c>
      <c r="B8" s="3" t="s">
        <v>110</v>
      </c>
      <c r="E8" s="3">
        <v>320</v>
      </c>
      <c r="F8" s="3">
        <v>300</v>
      </c>
      <c r="H8" s="3" t="b">
        <v>1</v>
      </c>
    </row>
  </sheetData>
  <dataConsolidate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8"/>
  <sheetViews>
    <sheetView topLeftCell="C1" workbookViewId="0">
      <pane ySplit="1" topLeftCell="A2" activePane="bottomLeft" state="frozen"/>
      <selection pane="bottomLeft" activeCell="F8" sqref="F8"/>
    </sheetView>
  </sheetViews>
  <sheetFormatPr baseColWidth="10" defaultRowHeight="15" x14ac:dyDescent="0"/>
  <cols>
    <col min="1" max="1" width="10.83203125" style="3"/>
    <col min="2" max="2" width="22.1640625" style="3" customWidth="1"/>
    <col min="3" max="3" width="19.6640625" style="3" customWidth="1"/>
    <col min="4" max="4" width="22.6640625" style="3" customWidth="1"/>
    <col min="5" max="5" width="44" style="3" customWidth="1"/>
    <col min="6" max="6" width="44.1640625" style="3" customWidth="1"/>
    <col min="7" max="7" width="18.6640625" style="3" customWidth="1"/>
    <col min="8" max="8" width="44.6640625" style="3" customWidth="1"/>
    <col min="9" max="16384" width="10.83203125" style="3"/>
  </cols>
  <sheetData>
    <row r="1" spans="1:8">
      <c r="A1" s="2" t="s">
        <v>0</v>
      </c>
      <c r="B1" s="2" t="s">
        <v>1</v>
      </c>
      <c r="C1" s="2" t="s">
        <v>12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ht="30">
      <c r="A2" s="3">
        <v>1</v>
      </c>
      <c r="B2" s="8" t="s">
        <v>37</v>
      </c>
      <c r="C2" s="3" t="s">
        <v>38</v>
      </c>
      <c r="D2" s="3" t="s">
        <v>39</v>
      </c>
      <c r="F2" s="3" t="s">
        <v>40</v>
      </c>
      <c r="G2" s="3" t="s">
        <v>41</v>
      </c>
      <c r="H2" s="3" t="s">
        <v>42</v>
      </c>
    </row>
    <row r="3" spans="1:8">
      <c r="A3" s="3">
        <v>2</v>
      </c>
      <c r="B3" s="8" t="s">
        <v>51</v>
      </c>
      <c r="C3" s="3" t="s">
        <v>52</v>
      </c>
      <c r="D3" s="3" t="s">
        <v>53</v>
      </c>
      <c r="F3" s="3" t="s">
        <v>56</v>
      </c>
      <c r="G3" s="3" t="s">
        <v>41</v>
      </c>
      <c r="H3" s="3" t="s">
        <v>54</v>
      </c>
    </row>
    <row r="4" spans="1:8" ht="30">
      <c r="A4" s="3">
        <v>3</v>
      </c>
      <c r="B4" s="8" t="s">
        <v>62</v>
      </c>
      <c r="C4" s="3" t="s">
        <v>68</v>
      </c>
      <c r="D4" s="3" t="s">
        <v>64</v>
      </c>
      <c r="E4" s="7" t="s">
        <v>63</v>
      </c>
      <c r="F4" s="3" t="s">
        <v>66</v>
      </c>
      <c r="G4" s="3" t="s">
        <v>41</v>
      </c>
      <c r="H4" s="3" t="s">
        <v>67</v>
      </c>
    </row>
    <row r="5" spans="1:8" ht="30">
      <c r="A5" s="3">
        <v>4</v>
      </c>
      <c r="B5" s="8" t="s">
        <v>69</v>
      </c>
      <c r="C5" s="3" t="s">
        <v>78</v>
      </c>
      <c r="D5" s="3" t="s">
        <v>79</v>
      </c>
      <c r="F5" s="3" t="s">
        <v>77</v>
      </c>
      <c r="G5" s="3" t="s">
        <v>41</v>
      </c>
      <c r="H5" s="3" t="s">
        <v>76</v>
      </c>
    </row>
    <row r="6" spans="1:8">
      <c r="A6" s="3">
        <v>5</v>
      </c>
      <c r="B6" s="8" t="str">
        <f>popups!B6</f>
        <v>PersiaYorkshirePopup</v>
      </c>
      <c r="C6" s="3" t="s">
        <v>86</v>
      </c>
      <c r="D6" s="3" t="s">
        <v>87</v>
      </c>
      <c r="F6" s="3" t="s">
        <v>88</v>
      </c>
      <c r="G6" s="3" t="s">
        <v>41</v>
      </c>
      <c r="H6" s="3" t="s">
        <v>89</v>
      </c>
    </row>
    <row r="7" spans="1:8">
      <c r="A7" s="3">
        <v>6</v>
      </c>
      <c r="B7" s="8" t="str">
        <f>popups!B7</f>
        <v>LoganPopup</v>
      </c>
      <c r="C7" s="3" t="s">
        <v>93</v>
      </c>
      <c r="D7" s="3" t="s">
        <v>92</v>
      </c>
      <c r="F7" s="3" t="s">
        <v>91</v>
      </c>
      <c r="G7" s="3" t="s">
        <v>41</v>
      </c>
      <c r="H7" s="3" t="s">
        <v>94</v>
      </c>
    </row>
    <row r="8" spans="1:8" ht="30">
      <c r="A8" s="3">
        <v>7</v>
      </c>
      <c r="B8" s="8" t="str">
        <f>popups!B8</f>
        <v>Cedar1898TornadoPopup</v>
      </c>
      <c r="C8" s="3" t="s">
        <v>111</v>
      </c>
      <c r="D8" s="3" t="s">
        <v>112</v>
      </c>
      <c r="F8" s="3" t="s">
        <v>119</v>
      </c>
      <c r="G8" s="3" t="s">
        <v>41</v>
      </c>
      <c r="H8" s="3" t="s">
        <v>113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8"/>
  <sheetViews>
    <sheetView workbookViewId="0">
      <pane ySplit="1" topLeftCell="A2" activePane="bottomLeft" state="frozen"/>
      <selection pane="bottomLeft" activeCell="D8" sqref="D8"/>
    </sheetView>
  </sheetViews>
  <sheetFormatPr baseColWidth="10" defaultRowHeight="15" x14ac:dyDescent="0"/>
  <cols>
    <col min="2" max="2" width="18.83203125" customWidth="1"/>
    <col min="3" max="3" width="33.83203125" customWidth="1"/>
    <col min="4" max="7" width="13" customWidth="1"/>
    <col min="8" max="9" width="15.1640625" customWidth="1"/>
    <col min="10" max="10" width="37.83203125" customWidth="1"/>
  </cols>
  <sheetData>
    <row r="1" spans="1:10">
      <c r="A1" s="1" t="s">
        <v>0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</row>
    <row r="2" spans="1:10">
      <c r="A2">
        <v>1</v>
      </c>
      <c r="B2" t="s">
        <v>43</v>
      </c>
      <c r="C2" t="s">
        <v>44</v>
      </c>
      <c r="D2">
        <v>444</v>
      </c>
      <c r="E2">
        <v>48</v>
      </c>
      <c r="J2" t="s">
        <v>45</v>
      </c>
    </row>
    <row r="3" spans="1:10">
      <c r="A3">
        <v>2</v>
      </c>
      <c r="B3" t="s">
        <v>49</v>
      </c>
      <c r="C3" t="s">
        <v>57</v>
      </c>
      <c r="D3">
        <v>110</v>
      </c>
      <c r="E3">
        <v>85</v>
      </c>
      <c r="J3" t="s">
        <v>50</v>
      </c>
    </row>
    <row r="4" spans="1:10">
      <c r="A4">
        <v>3</v>
      </c>
      <c r="B4" t="s">
        <v>58</v>
      </c>
      <c r="C4" t="s">
        <v>65</v>
      </c>
      <c r="D4">
        <v>100</v>
      </c>
      <c r="E4">
        <v>114</v>
      </c>
      <c r="J4" t="s">
        <v>59</v>
      </c>
    </row>
    <row r="5" spans="1:10">
      <c r="A5">
        <v>4</v>
      </c>
      <c r="B5" t="s">
        <v>70</v>
      </c>
      <c r="C5" t="s">
        <v>74</v>
      </c>
      <c r="D5">
        <v>100</v>
      </c>
      <c r="E5">
        <v>53</v>
      </c>
      <c r="F5">
        <v>50</v>
      </c>
      <c r="G5">
        <v>53</v>
      </c>
      <c r="J5" t="s">
        <v>75</v>
      </c>
    </row>
    <row r="6" spans="1:10">
      <c r="A6">
        <v>5</v>
      </c>
      <c r="B6" t="s">
        <v>81</v>
      </c>
      <c r="C6" t="s">
        <v>82</v>
      </c>
      <c r="D6">
        <v>120</v>
      </c>
      <c r="E6">
        <v>114</v>
      </c>
      <c r="J6" t="s">
        <v>83</v>
      </c>
    </row>
    <row r="7" spans="1:10">
      <c r="A7">
        <v>6</v>
      </c>
      <c r="B7" t="s">
        <v>96</v>
      </c>
      <c r="C7" t="s">
        <v>99</v>
      </c>
      <c r="D7">
        <v>120</v>
      </c>
      <c r="E7">
        <v>118</v>
      </c>
      <c r="J7" t="s">
        <v>97</v>
      </c>
    </row>
    <row r="8" spans="1:10">
      <c r="A8">
        <v>7</v>
      </c>
      <c r="B8" t="s">
        <v>114</v>
      </c>
      <c r="C8" t="s">
        <v>122</v>
      </c>
      <c r="J8" t="s">
        <v>120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O8"/>
  <sheetViews>
    <sheetView workbookViewId="0">
      <selection activeCell="G6" sqref="G6"/>
    </sheetView>
  </sheetViews>
  <sheetFormatPr baseColWidth="10" defaultRowHeight="15" x14ac:dyDescent="0"/>
  <cols>
    <col min="1" max="1" width="2.83203125" style="5" bestFit="1" customWidth="1"/>
    <col min="2" max="2" width="23.6640625" style="5" customWidth="1"/>
    <col min="3" max="3" width="14.1640625" style="5" customWidth="1"/>
    <col min="4" max="5" width="23.6640625" style="5" customWidth="1"/>
    <col min="6" max="6" width="19.33203125" style="5" customWidth="1"/>
    <col min="7" max="7" width="8.33203125" style="5" bestFit="1" customWidth="1"/>
    <col min="8" max="8" width="9.5" style="5" bestFit="1" customWidth="1"/>
    <col min="9" max="9" width="9.1640625" style="5" bestFit="1" customWidth="1"/>
    <col min="10" max="10" width="21.33203125" style="5" bestFit="1" customWidth="1"/>
    <col min="11" max="11" width="11.5" style="5" bestFit="1" customWidth="1"/>
    <col min="12" max="12" width="7.33203125" style="5" bestFit="1" customWidth="1"/>
    <col min="13" max="13" width="11.1640625" style="5" bestFit="1" customWidth="1"/>
    <col min="14" max="14" width="9.1640625" style="5" bestFit="1" customWidth="1"/>
    <col min="15" max="15" width="8" style="5" bestFit="1" customWidth="1"/>
    <col min="16" max="16384" width="10.83203125" style="5"/>
  </cols>
  <sheetData>
    <row r="1" spans="1:15">
      <c r="A1" s="4" t="s">
        <v>0</v>
      </c>
      <c r="B1" s="4" t="s">
        <v>27</v>
      </c>
      <c r="C1" s="4" t="s">
        <v>100</v>
      </c>
      <c r="D1" s="4" t="s">
        <v>101</v>
      </c>
      <c r="E1" s="4" t="s">
        <v>108</v>
      </c>
      <c r="F1" s="4" t="s">
        <v>18</v>
      </c>
      <c r="G1" s="4" t="s">
        <v>28</v>
      </c>
      <c r="H1" s="4" t="s">
        <v>29</v>
      </c>
      <c r="I1" s="4" t="s">
        <v>30</v>
      </c>
      <c r="J1" s="4" t="s">
        <v>12</v>
      </c>
      <c r="K1" s="4" t="s">
        <v>31</v>
      </c>
      <c r="L1" s="4" t="s">
        <v>32</v>
      </c>
      <c r="M1" s="4" t="s">
        <v>33</v>
      </c>
      <c r="N1" s="4" t="s">
        <v>34</v>
      </c>
      <c r="O1" s="4" t="s">
        <v>35</v>
      </c>
    </row>
    <row r="2" spans="1:15">
      <c r="A2" s="5">
        <v>1</v>
      </c>
      <c r="B2" s="5" t="s">
        <v>46</v>
      </c>
      <c r="D2" s="5" t="s">
        <v>109</v>
      </c>
      <c r="E2" s="5" t="s">
        <v>102</v>
      </c>
      <c r="F2" s="9" t="s">
        <v>43</v>
      </c>
      <c r="J2" s="5" t="s">
        <v>47</v>
      </c>
      <c r="L2" s="5">
        <v>1</v>
      </c>
    </row>
    <row r="3" spans="1:15" ht="21" customHeight="1">
      <c r="A3" s="5">
        <v>2</v>
      </c>
      <c r="B3" s="5" t="s">
        <v>55</v>
      </c>
      <c r="D3" s="5" t="s">
        <v>109</v>
      </c>
      <c r="E3" s="5" t="s">
        <v>103</v>
      </c>
      <c r="F3" s="9" t="s">
        <v>49</v>
      </c>
      <c r="J3" s="3" t="s">
        <v>53</v>
      </c>
      <c r="L3" s="5">
        <v>1</v>
      </c>
    </row>
    <row r="4" spans="1:15">
      <c r="A4" s="5">
        <v>3</v>
      </c>
      <c r="B4" s="5" t="s">
        <v>60</v>
      </c>
      <c r="D4" s="5" t="s">
        <v>109</v>
      </c>
      <c r="E4" s="5" t="s">
        <v>104</v>
      </c>
      <c r="F4" s="9" t="s">
        <v>58</v>
      </c>
      <c r="J4" s="5" t="s">
        <v>61</v>
      </c>
      <c r="L4" s="5">
        <v>1</v>
      </c>
    </row>
    <row r="5" spans="1:15">
      <c r="A5" s="5">
        <v>4</v>
      </c>
      <c r="B5" s="5" t="s">
        <v>72</v>
      </c>
      <c r="D5" s="5" t="s">
        <v>109</v>
      </c>
      <c r="E5" s="5" t="s">
        <v>105</v>
      </c>
      <c r="F5" s="10" t="s">
        <v>70</v>
      </c>
      <c r="J5" s="5" t="s">
        <v>71</v>
      </c>
      <c r="L5" s="5">
        <v>1</v>
      </c>
    </row>
    <row r="6" spans="1:15">
      <c r="A6" s="5">
        <v>5</v>
      </c>
      <c r="B6" t="s">
        <v>84</v>
      </c>
      <c r="C6"/>
      <c r="D6" s="5" t="s">
        <v>109</v>
      </c>
      <c r="E6" t="s">
        <v>106</v>
      </c>
      <c r="F6" s="9" t="s">
        <v>81</v>
      </c>
      <c r="J6" s="5" t="s">
        <v>80</v>
      </c>
      <c r="L6" s="5">
        <v>1</v>
      </c>
    </row>
    <row r="7" spans="1:15">
      <c r="A7" s="5">
        <v>6</v>
      </c>
      <c r="B7" t="s">
        <v>98</v>
      </c>
      <c r="C7"/>
      <c r="D7" s="5" t="s">
        <v>109</v>
      </c>
      <c r="E7" t="s">
        <v>107</v>
      </c>
      <c r="F7" s="9" t="str">
        <f>popups_icons!B7</f>
        <v>LoganIcon</v>
      </c>
      <c r="J7" s="5" t="s">
        <v>95</v>
      </c>
      <c r="L7" s="5">
        <v>1</v>
      </c>
    </row>
    <row r="8" spans="1:15">
      <c r="A8" s="5">
        <v>7</v>
      </c>
      <c r="B8" s="5" t="s">
        <v>115</v>
      </c>
      <c r="C8" s="5" t="s">
        <v>118</v>
      </c>
      <c r="D8" s="5" t="s">
        <v>123</v>
      </c>
      <c r="E8" s="5" t="s">
        <v>121</v>
      </c>
      <c r="F8" s="9" t="str">
        <f>popups_icons!B8</f>
        <v>Cedar1898TornadoIcon</v>
      </c>
      <c r="J8" s="5" t="s">
        <v>116</v>
      </c>
      <c r="L8" s="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8"/>
  <sheetViews>
    <sheetView tabSelected="1" workbookViewId="0">
      <pane ySplit="1" topLeftCell="A2" activePane="bottomLeft" state="frozen"/>
      <selection pane="bottomLeft" activeCell="F8" sqref="F8"/>
    </sheetView>
  </sheetViews>
  <sheetFormatPr baseColWidth="10" defaultRowHeight="15" x14ac:dyDescent="0"/>
  <cols>
    <col min="2" max="5" width="22.5" customWidth="1"/>
  </cols>
  <sheetData>
    <row r="1" spans="1:7">
      <c r="A1" s="1" t="s">
        <v>0</v>
      </c>
      <c r="B1" s="1" t="s">
        <v>36</v>
      </c>
      <c r="C1" s="1" t="s">
        <v>27</v>
      </c>
      <c r="D1" s="1" t="s">
        <v>18</v>
      </c>
      <c r="E1" s="1" t="s">
        <v>1</v>
      </c>
      <c r="F1" s="2" t="s">
        <v>10</v>
      </c>
      <c r="G1" s="2" t="s">
        <v>11</v>
      </c>
    </row>
    <row r="2" spans="1:7">
      <c r="A2">
        <v>1</v>
      </c>
      <c r="B2" t="s">
        <v>48</v>
      </c>
      <c r="C2" s="10" t="s">
        <v>46</v>
      </c>
      <c r="D2" s="10" t="s">
        <v>43</v>
      </c>
      <c r="E2" s="10" t="s">
        <v>37</v>
      </c>
      <c r="F2">
        <v>-20</v>
      </c>
      <c r="G2">
        <v>15</v>
      </c>
    </row>
    <row r="3" spans="1:7">
      <c r="A3">
        <v>2</v>
      </c>
      <c r="B3" t="s">
        <v>48</v>
      </c>
      <c r="C3" s="10" t="s">
        <v>55</v>
      </c>
      <c r="D3" s="10" t="s">
        <v>49</v>
      </c>
      <c r="E3" s="8" t="s">
        <v>51</v>
      </c>
      <c r="F3">
        <v>20</v>
      </c>
      <c r="G3">
        <v>20</v>
      </c>
    </row>
    <row r="4" spans="1:7">
      <c r="A4">
        <v>3</v>
      </c>
      <c r="B4" t="s">
        <v>48</v>
      </c>
      <c r="C4" s="10" t="s">
        <v>60</v>
      </c>
      <c r="D4" s="9" t="s">
        <v>58</v>
      </c>
      <c r="E4" s="8" t="s">
        <v>62</v>
      </c>
      <c r="F4">
        <v>175</v>
      </c>
      <c r="G4">
        <v>225</v>
      </c>
    </row>
    <row r="5" spans="1:7">
      <c r="A5">
        <v>4</v>
      </c>
      <c r="B5" t="s">
        <v>73</v>
      </c>
      <c r="C5" s="9" t="s">
        <v>72</v>
      </c>
      <c r="D5" s="10" t="s">
        <v>70</v>
      </c>
      <c r="E5" s="10" t="s">
        <v>69</v>
      </c>
    </row>
    <row r="6" spans="1:7">
      <c r="A6">
        <v>5</v>
      </c>
      <c r="B6" t="s">
        <v>73</v>
      </c>
      <c r="C6" s="10" t="str">
        <f>popups_markers!B6</f>
        <v>PersiaYorkshireMarker</v>
      </c>
      <c r="D6" s="10" t="str">
        <f>popups_icons!B6</f>
        <v>PersiaYorkshireIcon</v>
      </c>
      <c r="E6" s="8" t="str">
        <f>popups!B6</f>
        <v>PersiaYorkshirePopup</v>
      </c>
    </row>
    <row r="7" spans="1:7">
      <c r="A7">
        <v>6</v>
      </c>
      <c r="B7" t="s">
        <v>73</v>
      </c>
      <c r="C7" s="10" t="str">
        <f>popups_markers!B7</f>
        <v>LoganMarker</v>
      </c>
      <c r="D7" s="10" t="str">
        <f>popups_icons!B7</f>
        <v>LoganIcon</v>
      </c>
      <c r="E7" s="8" t="str">
        <f>popups!B7</f>
        <v>LoganPopup</v>
      </c>
    </row>
    <row r="8" spans="1:7">
      <c r="A8">
        <v>7</v>
      </c>
      <c r="B8" t="s">
        <v>117</v>
      </c>
      <c r="C8" s="10" t="str">
        <f>popups_markers!B8</f>
        <v>Cedar1898TornadoMarker</v>
      </c>
      <c r="D8" s="10" t="str">
        <f>popups_icons!B8</f>
        <v>Cedar1898TornadoIcon</v>
      </c>
      <c r="E8" s="8" t="str">
        <f>popups!B8</f>
        <v>Cedar1898TornadoPopup</v>
      </c>
      <c r="F8">
        <v>0</v>
      </c>
      <c r="G8">
        <v>-400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popups</vt:lpstr>
      <vt:lpstr>popups_content</vt:lpstr>
      <vt:lpstr>popups_icons</vt:lpstr>
      <vt:lpstr>popups_markers</vt:lpstr>
      <vt:lpstr>popups_views</vt:lpstr>
    </vt:vector>
  </TitlesOfParts>
  <Company>DSPH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NeuCollins</dc:creator>
  <cp:lastModifiedBy>Mark NeuCollins</cp:lastModifiedBy>
  <dcterms:created xsi:type="dcterms:W3CDTF">2013-12-02T01:04:08Z</dcterms:created>
  <dcterms:modified xsi:type="dcterms:W3CDTF">2015-02-13T17:56:50Z</dcterms:modified>
</cp:coreProperties>
</file>